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john.bo\Downloads\"/>
    </mc:Choice>
  </mc:AlternateContent>
  <xr:revisionPtr revIDLastSave="0" documentId="8_{2E8C21E2-1976-4E53-B4B4-6C6DB3FBA693}" xr6:coauthVersionLast="47" xr6:coauthVersionMax="47" xr10:uidLastSave="{00000000-0000-0000-0000-000000000000}"/>
  <bookViews>
    <workbookView xWindow="-13650" yWindow="-16320" windowWidth="29040" windowHeight="15720" firstSheet="13" activeTab="13" xr2:uid="{87907303-B1B6-446F-98AA-41E91381750C}"/>
  </bookViews>
  <sheets>
    <sheet name="Don Gallegos" sheetId="36" r:id="rId1"/>
    <sheet name="Juan Alcarez " sheetId="46" r:id="rId2"/>
    <sheet name="Salvador Alvarez" sheetId="34" r:id="rId3"/>
    <sheet name="Christian Castrence " sheetId="45" r:id="rId4"/>
    <sheet name="Austin Coleman" sheetId="44" r:id="rId5"/>
    <sheet name="Francisco Diaz" sheetId="41" r:id="rId6"/>
    <sheet name="Julian Gonzalez" sheetId="33" r:id="rId7"/>
    <sheet name="Magdaleno Lomelli" sheetId="32" r:id="rId8"/>
    <sheet name="Darius McCaleb" sheetId="31" r:id="rId9"/>
    <sheet name="Collin Posey" sheetId="39" r:id="rId10"/>
    <sheet name="Marco Ramirez" sheetId="30" r:id="rId11"/>
    <sheet name="Ignacio Sanchez" sheetId="38" r:id="rId12"/>
    <sheet name="James Serna" sheetId="40" r:id="rId13"/>
    <sheet name="Enrique Yanez" sheetId="43" r:id="rId14"/>
    <sheet name="TEMPLATE" sheetId="29" r:id="rId15"/>
    <sheet name="PHASE CODES" sheetId="2" r:id="rId16"/>
    <sheet name="EMPLOYEES" sheetId="3" r:id="rId17"/>
  </sheets>
  <definedNames>
    <definedName name="_xlnm.Print_Area" localSheetId="4">'Austin Coleman'!$A$1:$AJ$38</definedName>
    <definedName name="_xlnm.Print_Area" localSheetId="3">'Christian Castrence '!$A$1:$AJ$38</definedName>
    <definedName name="_xlnm.Print_Area" localSheetId="9">'Collin Posey'!$A$1:$AJ$38</definedName>
    <definedName name="_xlnm.Print_Area" localSheetId="8">'Darius McCaleb'!$A$1:$AJ$38</definedName>
    <definedName name="_xlnm.Print_Area" localSheetId="0">'Don Gallegos'!$A$1:$AJ$38</definedName>
    <definedName name="_xlnm.Print_Area" localSheetId="13">'Enrique Yanez'!$A$1:$AJ$38</definedName>
    <definedName name="_xlnm.Print_Area" localSheetId="5">'Francisco Diaz'!$A$1:$AJ$38</definedName>
    <definedName name="_xlnm.Print_Area" localSheetId="11">'Ignacio Sanchez'!$A$1:$AJ$38</definedName>
    <definedName name="_xlnm.Print_Area" localSheetId="12">'James Serna'!$A$1:$AJ$38</definedName>
    <definedName name="_xlnm.Print_Area" localSheetId="1">'Juan Alcarez '!$A$1:$AJ$38</definedName>
    <definedName name="_xlnm.Print_Area" localSheetId="6">'Julian Gonzalez'!$A$1:$AJ$38</definedName>
    <definedName name="_xlnm.Print_Area" localSheetId="7">'Magdaleno Lomelli'!$A$1:$AJ$38</definedName>
    <definedName name="_xlnm.Print_Area" localSheetId="10">'Marco Ramirez'!$A$1:$AJ$38</definedName>
    <definedName name="_xlnm.Print_Area" localSheetId="2">'Salvador Alvarez'!$A$1:$AJ$38</definedName>
    <definedName name="_xlnm.Print_Area" localSheetId="14">TEMPLATE!$A$1:$AJ$38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46" l="1"/>
  <c r="D35" i="46"/>
  <c r="D34" i="46"/>
  <c r="D33" i="46"/>
  <c r="D32" i="46"/>
  <c r="D31" i="46"/>
  <c r="D30" i="46"/>
  <c r="D36" i="46" s="1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E27" i="46"/>
  <c r="AI26" i="46"/>
  <c r="AH26" i="46"/>
  <c r="AG26" i="46"/>
  <c r="AI25" i="46"/>
  <c r="AH25" i="46"/>
  <c r="AG25" i="46"/>
  <c r="AI24" i="46"/>
  <c r="AH24" i="46"/>
  <c r="AG24" i="46"/>
  <c r="AI23" i="46"/>
  <c r="AH23" i="46"/>
  <c r="AG23" i="46"/>
  <c r="AI22" i="46"/>
  <c r="AH22" i="46"/>
  <c r="AG22" i="46"/>
  <c r="AI21" i="46"/>
  <c r="AH21" i="46"/>
  <c r="AG21" i="46"/>
  <c r="AI20" i="46"/>
  <c r="AH20" i="46"/>
  <c r="AG20" i="46"/>
  <c r="AI19" i="46"/>
  <c r="AH19" i="46"/>
  <c r="AG19" i="46"/>
  <c r="AI18" i="46"/>
  <c r="AH18" i="46"/>
  <c r="AG18" i="46"/>
  <c r="AI17" i="46"/>
  <c r="AH17" i="46"/>
  <c r="AG17" i="46"/>
  <c r="AI16" i="46"/>
  <c r="AH16" i="46"/>
  <c r="AG16" i="46"/>
  <c r="AI15" i="46"/>
  <c r="AH15" i="46"/>
  <c r="AG15" i="46"/>
  <c r="AI14" i="46"/>
  <c r="AH14" i="46"/>
  <c r="AG14" i="46"/>
  <c r="AI13" i="46"/>
  <c r="AH13" i="46"/>
  <c r="AG13" i="46"/>
  <c r="AI12" i="46"/>
  <c r="AH12" i="46"/>
  <c r="AG12" i="46"/>
  <c r="AI11" i="46"/>
  <c r="AH11" i="46"/>
  <c r="AG11" i="46"/>
  <c r="AI10" i="46"/>
  <c r="AH10" i="46"/>
  <c r="AG10" i="46"/>
  <c r="AI9" i="46"/>
  <c r="AI27" i="46" s="1"/>
  <c r="AH9" i="46"/>
  <c r="AH27" i="46" s="1"/>
  <c r="AG9" i="46"/>
  <c r="AG27" i="46" s="1"/>
  <c r="AC6" i="46"/>
  <c r="J34" i="46" s="1"/>
  <c r="C36" i="45"/>
  <c r="D35" i="45"/>
  <c r="D34" i="45"/>
  <c r="D33" i="45"/>
  <c r="D32" i="45"/>
  <c r="D31" i="45"/>
  <c r="D30" i="45"/>
  <c r="D36" i="45" s="1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AI26" i="45"/>
  <c r="AH26" i="45"/>
  <c r="AG26" i="45"/>
  <c r="AI25" i="45"/>
  <c r="AH25" i="45"/>
  <c r="AG25" i="45"/>
  <c r="AI24" i="45"/>
  <c r="AH24" i="45"/>
  <c r="AG24" i="45"/>
  <c r="AI23" i="45"/>
  <c r="AH23" i="45"/>
  <c r="AG23" i="45"/>
  <c r="AI22" i="45"/>
  <c r="AH22" i="45"/>
  <c r="AG22" i="45"/>
  <c r="AI21" i="45"/>
  <c r="AH21" i="45"/>
  <c r="AG21" i="45"/>
  <c r="AI20" i="45"/>
  <c r="AH20" i="45"/>
  <c r="AG20" i="45"/>
  <c r="AI19" i="45"/>
  <c r="AH19" i="45"/>
  <c r="AG19" i="45"/>
  <c r="AI18" i="45"/>
  <c r="AH18" i="45"/>
  <c r="AG18" i="45"/>
  <c r="AI17" i="45"/>
  <c r="AH17" i="45"/>
  <c r="AG17" i="45"/>
  <c r="AI16" i="45"/>
  <c r="AH16" i="45"/>
  <c r="AG16" i="45"/>
  <c r="AI15" i="45"/>
  <c r="AH15" i="45"/>
  <c r="AG15" i="45"/>
  <c r="AI14" i="45"/>
  <c r="AH14" i="45"/>
  <c r="AG14" i="45"/>
  <c r="AI13" i="45"/>
  <c r="AH13" i="45"/>
  <c r="AG13" i="45"/>
  <c r="AI12" i="45"/>
  <c r="AH12" i="45"/>
  <c r="AG12" i="45"/>
  <c r="AI11" i="45"/>
  <c r="AH11" i="45"/>
  <c r="AG11" i="45"/>
  <c r="AI10" i="45"/>
  <c r="AH10" i="45"/>
  <c r="AG10" i="45"/>
  <c r="AI9" i="45"/>
  <c r="AH9" i="45"/>
  <c r="AG9" i="45"/>
  <c r="AC6" i="45"/>
  <c r="J34" i="45" s="1"/>
  <c r="C36" i="44"/>
  <c r="D35" i="44"/>
  <c r="D34" i="44"/>
  <c r="D33" i="44"/>
  <c r="D32" i="44"/>
  <c r="D31" i="44"/>
  <c r="D30" i="44"/>
  <c r="D36" i="44" s="1"/>
  <c r="AF27" i="44"/>
  <c r="AE27" i="44"/>
  <c r="AD27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AI26" i="44"/>
  <c r="AH26" i="44"/>
  <c r="AG26" i="44"/>
  <c r="AI25" i="44"/>
  <c r="AH25" i="44"/>
  <c r="AG25" i="44"/>
  <c r="AI24" i="44"/>
  <c r="AH24" i="44"/>
  <c r="AG24" i="44"/>
  <c r="AI23" i="44"/>
  <c r="AH23" i="44"/>
  <c r="AG23" i="44"/>
  <c r="AI22" i="44"/>
  <c r="AH22" i="44"/>
  <c r="AG22" i="44"/>
  <c r="AI21" i="44"/>
  <c r="AH21" i="44"/>
  <c r="AG21" i="44"/>
  <c r="AI20" i="44"/>
  <c r="AH20" i="44"/>
  <c r="AG20" i="44"/>
  <c r="AI19" i="44"/>
  <c r="AH19" i="44"/>
  <c r="AG19" i="44"/>
  <c r="AI18" i="44"/>
  <c r="AH18" i="44"/>
  <c r="AG18" i="44"/>
  <c r="AI17" i="44"/>
  <c r="AH17" i="44"/>
  <c r="AG17" i="44"/>
  <c r="AI16" i="44"/>
  <c r="AH16" i="44"/>
  <c r="AG16" i="44"/>
  <c r="AI15" i="44"/>
  <c r="AH15" i="44"/>
  <c r="AG15" i="44"/>
  <c r="AI14" i="44"/>
  <c r="AH14" i="44"/>
  <c r="AG14" i="44"/>
  <c r="AI13" i="44"/>
  <c r="AH13" i="44"/>
  <c r="AG13" i="44"/>
  <c r="AI12" i="44"/>
  <c r="AH12" i="44"/>
  <c r="AG12" i="44"/>
  <c r="AI11" i="44"/>
  <c r="AH11" i="44"/>
  <c r="AG11" i="44"/>
  <c r="AI10" i="44"/>
  <c r="AH10" i="44"/>
  <c r="AG10" i="44"/>
  <c r="AI9" i="44"/>
  <c r="AI27" i="44" s="1"/>
  <c r="AH9" i="44"/>
  <c r="AG9" i="44"/>
  <c r="AC6" i="44"/>
  <c r="J34" i="44" s="1"/>
  <c r="C36" i="43"/>
  <c r="D35" i="43"/>
  <c r="D34" i="43"/>
  <c r="D33" i="43"/>
  <c r="D32" i="43"/>
  <c r="D31" i="43"/>
  <c r="D30" i="43"/>
  <c r="D36" i="43" s="1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AI26" i="43"/>
  <c r="AH26" i="43"/>
  <c r="AG26" i="43"/>
  <c r="AI25" i="43"/>
  <c r="AH25" i="43"/>
  <c r="AG25" i="43"/>
  <c r="AI24" i="43"/>
  <c r="AH24" i="43"/>
  <c r="AG24" i="43"/>
  <c r="AI23" i="43"/>
  <c r="AH23" i="43"/>
  <c r="AG23" i="43"/>
  <c r="AI22" i="43"/>
  <c r="AH22" i="43"/>
  <c r="AG22" i="43"/>
  <c r="AI21" i="43"/>
  <c r="AH21" i="43"/>
  <c r="AG21" i="43"/>
  <c r="AI20" i="43"/>
  <c r="AH20" i="43"/>
  <c r="AG20" i="43"/>
  <c r="AI19" i="43"/>
  <c r="AH19" i="43"/>
  <c r="AG19" i="43"/>
  <c r="AI18" i="43"/>
  <c r="AH18" i="43"/>
  <c r="AG18" i="43"/>
  <c r="AI17" i="43"/>
  <c r="AH17" i="43"/>
  <c r="AG17" i="43"/>
  <c r="AI16" i="43"/>
  <c r="AH16" i="43"/>
  <c r="AG16" i="43"/>
  <c r="AI15" i="43"/>
  <c r="AH15" i="43"/>
  <c r="AG15" i="43"/>
  <c r="AI14" i="43"/>
  <c r="AH14" i="43"/>
  <c r="AG14" i="43"/>
  <c r="AI13" i="43"/>
  <c r="AH13" i="43"/>
  <c r="AG13" i="43"/>
  <c r="AI12" i="43"/>
  <c r="AH12" i="43"/>
  <c r="AG12" i="43"/>
  <c r="AI11" i="43"/>
  <c r="AH11" i="43"/>
  <c r="AG11" i="43"/>
  <c r="AI10" i="43"/>
  <c r="AH10" i="43"/>
  <c r="AG10" i="43"/>
  <c r="AI9" i="43"/>
  <c r="AI27" i="43" s="1"/>
  <c r="AH9" i="43"/>
  <c r="AG9" i="43"/>
  <c r="AC6" i="43"/>
  <c r="J34" i="43" s="1"/>
  <c r="C36" i="41"/>
  <c r="D35" i="41"/>
  <c r="D34" i="41"/>
  <c r="D33" i="41"/>
  <c r="D32" i="41"/>
  <c r="D31" i="41"/>
  <c r="D30" i="41"/>
  <c r="D36" i="41" s="1"/>
  <c r="AF27" i="41"/>
  <c r="AE27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AI26" i="41"/>
  <c r="AH26" i="41"/>
  <c r="AG26" i="41"/>
  <c r="AI25" i="41"/>
  <c r="AH25" i="41"/>
  <c r="AG25" i="41"/>
  <c r="AI24" i="41"/>
  <c r="AH24" i="41"/>
  <c r="AG24" i="41"/>
  <c r="AI23" i="41"/>
  <c r="AH23" i="41"/>
  <c r="AG23" i="41"/>
  <c r="AI22" i="41"/>
  <c r="AH22" i="41"/>
  <c r="AG22" i="41"/>
  <c r="AI21" i="41"/>
  <c r="AH21" i="41"/>
  <c r="AG21" i="41"/>
  <c r="AI20" i="41"/>
  <c r="AH20" i="41"/>
  <c r="AG20" i="41"/>
  <c r="AI19" i="41"/>
  <c r="AH19" i="41"/>
  <c r="AG19" i="41"/>
  <c r="AI18" i="41"/>
  <c r="AH18" i="41"/>
  <c r="AG18" i="41"/>
  <c r="AI17" i="41"/>
  <c r="AH17" i="41"/>
  <c r="AG17" i="41"/>
  <c r="AI16" i="41"/>
  <c r="AH16" i="41"/>
  <c r="AG16" i="41"/>
  <c r="AI15" i="41"/>
  <c r="AH15" i="41"/>
  <c r="AG15" i="41"/>
  <c r="AI14" i="41"/>
  <c r="AH14" i="41"/>
  <c r="AG14" i="41"/>
  <c r="AI13" i="41"/>
  <c r="AH13" i="41"/>
  <c r="AG13" i="41"/>
  <c r="AI12" i="41"/>
  <c r="AH12" i="41"/>
  <c r="AG12" i="41"/>
  <c r="AI11" i="41"/>
  <c r="AH11" i="41"/>
  <c r="AG11" i="41"/>
  <c r="AI10" i="41"/>
  <c r="AH10" i="41"/>
  <c r="AG10" i="41"/>
  <c r="AI9" i="41"/>
  <c r="AH9" i="41"/>
  <c r="AG9" i="41"/>
  <c r="AC6" i="41"/>
  <c r="J34" i="41" s="1"/>
  <c r="C36" i="40"/>
  <c r="D35" i="40"/>
  <c r="D34" i="40"/>
  <c r="D33" i="40"/>
  <c r="D32" i="40"/>
  <c r="D31" i="40"/>
  <c r="D30" i="40"/>
  <c r="D36" i="40" s="1"/>
  <c r="AF27" i="40"/>
  <c r="AE27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AI26" i="40"/>
  <c r="AH26" i="40"/>
  <c r="AG26" i="40"/>
  <c r="AI25" i="40"/>
  <c r="AH25" i="40"/>
  <c r="AG25" i="40"/>
  <c r="AI24" i="40"/>
  <c r="AH24" i="40"/>
  <c r="AG24" i="40"/>
  <c r="AI23" i="40"/>
  <c r="AH23" i="40"/>
  <c r="AG23" i="40"/>
  <c r="AI22" i="40"/>
  <c r="AH22" i="40"/>
  <c r="AG22" i="40"/>
  <c r="AI21" i="40"/>
  <c r="AH21" i="40"/>
  <c r="AG21" i="40"/>
  <c r="AI20" i="40"/>
  <c r="AH20" i="40"/>
  <c r="AG20" i="40"/>
  <c r="AI19" i="40"/>
  <c r="AH19" i="40"/>
  <c r="AG19" i="40"/>
  <c r="AI18" i="40"/>
  <c r="AH18" i="40"/>
  <c r="AG18" i="40"/>
  <c r="AI17" i="40"/>
  <c r="AH17" i="40"/>
  <c r="AG17" i="40"/>
  <c r="AI16" i="40"/>
  <c r="AH16" i="40"/>
  <c r="AG16" i="40"/>
  <c r="AI15" i="40"/>
  <c r="AH15" i="40"/>
  <c r="AG15" i="40"/>
  <c r="AI14" i="40"/>
  <c r="AH14" i="40"/>
  <c r="AG14" i="40"/>
  <c r="AI13" i="40"/>
  <c r="AH13" i="40"/>
  <c r="AG13" i="40"/>
  <c r="AI12" i="40"/>
  <c r="AH12" i="40"/>
  <c r="AG12" i="40"/>
  <c r="AI11" i="40"/>
  <c r="AH11" i="40"/>
  <c r="AG11" i="40"/>
  <c r="AI10" i="40"/>
  <c r="AH10" i="40"/>
  <c r="AG10" i="40"/>
  <c r="AI9" i="40"/>
  <c r="AI27" i="40" s="1"/>
  <c r="AH9" i="40"/>
  <c r="AG9" i="40"/>
  <c r="AC6" i="40"/>
  <c r="J34" i="40" s="1"/>
  <c r="C36" i="39"/>
  <c r="D35" i="39"/>
  <c r="D34" i="39"/>
  <c r="D33" i="39"/>
  <c r="D32" i="39"/>
  <c r="D31" i="39"/>
  <c r="D30" i="39"/>
  <c r="D36" i="39" s="1"/>
  <c r="AF27" i="39"/>
  <c r="AE27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AI26" i="39"/>
  <c r="AH26" i="39"/>
  <c r="AG26" i="39"/>
  <c r="AI25" i="39"/>
  <c r="AH25" i="39"/>
  <c r="AG25" i="39"/>
  <c r="AI24" i="39"/>
  <c r="AH24" i="39"/>
  <c r="AG24" i="39"/>
  <c r="AI23" i="39"/>
  <c r="AH23" i="39"/>
  <c r="AG23" i="39"/>
  <c r="AI22" i="39"/>
  <c r="AH22" i="39"/>
  <c r="AG22" i="39"/>
  <c r="AI21" i="39"/>
  <c r="AH21" i="39"/>
  <c r="AG21" i="39"/>
  <c r="AI20" i="39"/>
  <c r="AH20" i="39"/>
  <c r="AG20" i="39"/>
  <c r="AI19" i="39"/>
  <c r="AH19" i="39"/>
  <c r="AG19" i="39"/>
  <c r="AI18" i="39"/>
  <c r="AH18" i="39"/>
  <c r="AG18" i="39"/>
  <c r="AI17" i="39"/>
  <c r="AH17" i="39"/>
  <c r="AG17" i="39"/>
  <c r="AI16" i="39"/>
  <c r="AH16" i="39"/>
  <c r="AG16" i="39"/>
  <c r="AI15" i="39"/>
  <c r="AH15" i="39"/>
  <c r="AG15" i="39"/>
  <c r="AI14" i="39"/>
  <c r="AH14" i="39"/>
  <c r="AG14" i="39"/>
  <c r="AI13" i="39"/>
  <c r="AH13" i="39"/>
  <c r="AG13" i="39"/>
  <c r="AI12" i="39"/>
  <c r="AH12" i="39"/>
  <c r="AG12" i="39"/>
  <c r="AI11" i="39"/>
  <c r="AH11" i="39"/>
  <c r="AG11" i="39"/>
  <c r="AI10" i="39"/>
  <c r="AH10" i="39"/>
  <c r="AG10" i="39"/>
  <c r="AI9" i="39"/>
  <c r="AH9" i="39"/>
  <c r="AG9" i="39"/>
  <c r="AC6" i="39"/>
  <c r="J34" i="39" s="1"/>
  <c r="C36" i="38"/>
  <c r="D35" i="38"/>
  <c r="D34" i="38"/>
  <c r="D33" i="38"/>
  <c r="D32" i="38"/>
  <c r="D31" i="38"/>
  <c r="D30" i="38"/>
  <c r="D36" i="38" s="1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AI26" i="38"/>
  <c r="AH26" i="38"/>
  <c r="AG26" i="38"/>
  <c r="AI25" i="38"/>
  <c r="AH25" i="38"/>
  <c r="AG25" i="38"/>
  <c r="AI24" i="38"/>
  <c r="AH24" i="38"/>
  <c r="AG24" i="38"/>
  <c r="AI23" i="38"/>
  <c r="AH23" i="38"/>
  <c r="AG23" i="38"/>
  <c r="AI22" i="38"/>
  <c r="AH22" i="38"/>
  <c r="AG22" i="38"/>
  <c r="AI21" i="38"/>
  <c r="AH21" i="38"/>
  <c r="AG21" i="38"/>
  <c r="AI20" i="38"/>
  <c r="AH20" i="38"/>
  <c r="AG20" i="38"/>
  <c r="AI19" i="38"/>
  <c r="AH19" i="38"/>
  <c r="AG19" i="38"/>
  <c r="AI18" i="38"/>
  <c r="AH18" i="38"/>
  <c r="AG18" i="38"/>
  <c r="AI17" i="38"/>
  <c r="AH17" i="38"/>
  <c r="AG17" i="38"/>
  <c r="AI16" i="38"/>
  <c r="AH16" i="38"/>
  <c r="AG16" i="38"/>
  <c r="AI15" i="38"/>
  <c r="AH15" i="38"/>
  <c r="AG15" i="38"/>
  <c r="AI14" i="38"/>
  <c r="AH14" i="38"/>
  <c r="AG14" i="38"/>
  <c r="AI13" i="38"/>
  <c r="AH13" i="38"/>
  <c r="AG13" i="38"/>
  <c r="AI12" i="38"/>
  <c r="AH12" i="38"/>
  <c r="AG12" i="38"/>
  <c r="AI11" i="38"/>
  <c r="AH11" i="38"/>
  <c r="AG11" i="38"/>
  <c r="AI10" i="38"/>
  <c r="AH10" i="38"/>
  <c r="AG10" i="38"/>
  <c r="AI9" i="38"/>
  <c r="AH9" i="38"/>
  <c r="AG9" i="38"/>
  <c r="AC6" i="38"/>
  <c r="J34" i="38" s="1"/>
  <c r="C36" i="36"/>
  <c r="D35" i="36"/>
  <c r="D34" i="36"/>
  <c r="D33" i="36"/>
  <c r="D32" i="36"/>
  <c r="D31" i="36"/>
  <c r="D30" i="36"/>
  <c r="D36" i="36" s="1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AI26" i="36"/>
  <c r="AH26" i="36"/>
  <c r="AG26" i="36"/>
  <c r="AI25" i="36"/>
  <c r="AH25" i="36"/>
  <c r="AG25" i="36"/>
  <c r="AI24" i="36"/>
  <c r="AH24" i="36"/>
  <c r="AG24" i="36"/>
  <c r="AI23" i="36"/>
  <c r="AH23" i="36"/>
  <c r="AG23" i="36"/>
  <c r="AI22" i="36"/>
  <c r="AH22" i="36"/>
  <c r="AG22" i="36"/>
  <c r="AI21" i="36"/>
  <c r="AH21" i="36"/>
  <c r="AG21" i="36"/>
  <c r="AI20" i="36"/>
  <c r="AH20" i="36"/>
  <c r="AG20" i="36"/>
  <c r="AI19" i="36"/>
  <c r="AH19" i="36"/>
  <c r="AG19" i="36"/>
  <c r="AI18" i="36"/>
  <c r="AH18" i="36"/>
  <c r="AG18" i="36"/>
  <c r="AI17" i="36"/>
  <c r="AH17" i="36"/>
  <c r="AG17" i="36"/>
  <c r="AI16" i="36"/>
  <c r="AH16" i="36"/>
  <c r="AG16" i="36"/>
  <c r="AI15" i="36"/>
  <c r="AH15" i="36"/>
  <c r="AG15" i="36"/>
  <c r="AI14" i="36"/>
  <c r="AH14" i="36"/>
  <c r="AG14" i="36"/>
  <c r="AI13" i="36"/>
  <c r="AH13" i="36"/>
  <c r="AG13" i="36"/>
  <c r="AI12" i="36"/>
  <c r="AH12" i="36"/>
  <c r="AG12" i="36"/>
  <c r="AI11" i="36"/>
  <c r="AH11" i="36"/>
  <c r="AG11" i="36"/>
  <c r="AI10" i="36"/>
  <c r="AH10" i="36"/>
  <c r="AG10" i="36"/>
  <c r="AI9" i="36"/>
  <c r="AH9" i="36"/>
  <c r="AG9" i="36"/>
  <c r="AC6" i="36"/>
  <c r="J34" i="36" s="1"/>
  <c r="C36" i="34"/>
  <c r="D35" i="34"/>
  <c r="D34" i="34"/>
  <c r="D33" i="34"/>
  <c r="D32" i="34"/>
  <c r="D31" i="34"/>
  <c r="D30" i="34"/>
  <c r="D36" i="34" s="1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AI26" i="34"/>
  <c r="AH26" i="34"/>
  <c r="AG26" i="34"/>
  <c r="AI25" i="34"/>
  <c r="AH25" i="34"/>
  <c r="AG25" i="34"/>
  <c r="AI24" i="34"/>
  <c r="AH24" i="34"/>
  <c r="AG24" i="34"/>
  <c r="AI23" i="34"/>
  <c r="AH23" i="34"/>
  <c r="AG23" i="34"/>
  <c r="AI22" i="34"/>
  <c r="AH22" i="34"/>
  <c r="AG22" i="34"/>
  <c r="AI21" i="34"/>
  <c r="AH21" i="34"/>
  <c r="AG21" i="34"/>
  <c r="AI20" i="34"/>
  <c r="AH20" i="34"/>
  <c r="AG20" i="34"/>
  <c r="AI19" i="34"/>
  <c r="AH19" i="34"/>
  <c r="AG19" i="34"/>
  <c r="AI18" i="34"/>
  <c r="AH18" i="34"/>
  <c r="AG18" i="34"/>
  <c r="AI17" i="34"/>
  <c r="AH17" i="34"/>
  <c r="AG17" i="34"/>
  <c r="AI16" i="34"/>
  <c r="AH16" i="34"/>
  <c r="AG16" i="34"/>
  <c r="AI15" i="34"/>
  <c r="AH15" i="34"/>
  <c r="AG15" i="34"/>
  <c r="AI14" i="34"/>
  <c r="AH14" i="34"/>
  <c r="AG14" i="34"/>
  <c r="AI13" i="34"/>
  <c r="AH13" i="34"/>
  <c r="AG13" i="34"/>
  <c r="AI12" i="34"/>
  <c r="AH12" i="34"/>
  <c r="AG12" i="34"/>
  <c r="AI11" i="34"/>
  <c r="AH11" i="34"/>
  <c r="AG11" i="34"/>
  <c r="AI10" i="34"/>
  <c r="AH10" i="34"/>
  <c r="AG10" i="34"/>
  <c r="AI9" i="34"/>
  <c r="AI27" i="34" s="1"/>
  <c r="AH9" i="34"/>
  <c r="AH27" i="34" s="1"/>
  <c r="AG9" i="34"/>
  <c r="AC6" i="34"/>
  <c r="J34" i="34" s="1"/>
  <c r="C36" i="33"/>
  <c r="D35" i="33"/>
  <c r="D34" i="33"/>
  <c r="D33" i="33"/>
  <c r="D32" i="33"/>
  <c r="D31" i="33"/>
  <c r="D30" i="33"/>
  <c r="D36" i="33" s="1"/>
  <c r="AF27" i="33"/>
  <c r="AE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AI26" i="33"/>
  <c r="AH26" i="33"/>
  <c r="AG26" i="33"/>
  <c r="AI25" i="33"/>
  <c r="AH25" i="33"/>
  <c r="AG25" i="33"/>
  <c r="AI24" i="33"/>
  <c r="AH24" i="33"/>
  <c r="AG24" i="33"/>
  <c r="AI23" i="33"/>
  <c r="AH23" i="33"/>
  <c r="AG23" i="33"/>
  <c r="AI22" i="33"/>
  <c r="AH22" i="33"/>
  <c r="AG22" i="33"/>
  <c r="AI21" i="33"/>
  <c r="AH21" i="33"/>
  <c r="AG21" i="33"/>
  <c r="AI20" i="33"/>
  <c r="AH20" i="33"/>
  <c r="AG20" i="33"/>
  <c r="AI19" i="33"/>
  <c r="AH19" i="33"/>
  <c r="AG19" i="33"/>
  <c r="AI18" i="33"/>
  <c r="AH18" i="33"/>
  <c r="AG18" i="33"/>
  <c r="AI17" i="33"/>
  <c r="AH17" i="33"/>
  <c r="AG17" i="33"/>
  <c r="AI16" i="33"/>
  <c r="AH16" i="33"/>
  <c r="AG16" i="33"/>
  <c r="AI15" i="33"/>
  <c r="AH15" i="33"/>
  <c r="AG15" i="33"/>
  <c r="AI14" i="33"/>
  <c r="AH14" i="33"/>
  <c r="AG14" i="33"/>
  <c r="AI13" i="33"/>
  <c r="AH13" i="33"/>
  <c r="AG13" i="33"/>
  <c r="AI12" i="33"/>
  <c r="AH12" i="33"/>
  <c r="AG12" i="33"/>
  <c r="AI11" i="33"/>
  <c r="AH11" i="33"/>
  <c r="AG11" i="33"/>
  <c r="AI10" i="33"/>
  <c r="AH10" i="33"/>
  <c r="AG10" i="33"/>
  <c r="AI9" i="33"/>
  <c r="AI27" i="33" s="1"/>
  <c r="AH9" i="33"/>
  <c r="AG9" i="33"/>
  <c r="AC6" i="33"/>
  <c r="J34" i="33" s="1"/>
  <c r="C36" i="32"/>
  <c r="D35" i="32"/>
  <c r="D34" i="32"/>
  <c r="D33" i="32"/>
  <c r="D32" i="32"/>
  <c r="D31" i="32"/>
  <c r="D30" i="32"/>
  <c r="D36" i="32" s="1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AI26" i="32"/>
  <c r="AH26" i="32"/>
  <c r="AG26" i="32"/>
  <c r="AI25" i="32"/>
  <c r="AH25" i="32"/>
  <c r="AG25" i="32"/>
  <c r="AI24" i="32"/>
  <c r="AH24" i="32"/>
  <c r="AG24" i="32"/>
  <c r="AI23" i="32"/>
  <c r="AH23" i="32"/>
  <c r="AG23" i="32"/>
  <c r="AI22" i="32"/>
  <c r="AH22" i="32"/>
  <c r="AG22" i="32"/>
  <c r="AI21" i="32"/>
  <c r="AH21" i="32"/>
  <c r="AG21" i="32"/>
  <c r="AI20" i="32"/>
  <c r="AH20" i="32"/>
  <c r="AG20" i="32"/>
  <c r="AI19" i="32"/>
  <c r="AH19" i="32"/>
  <c r="AG19" i="32"/>
  <c r="AI18" i="32"/>
  <c r="AH18" i="32"/>
  <c r="AG18" i="32"/>
  <c r="AI17" i="32"/>
  <c r="AH17" i="32"/>
  <c r="AG17" i="32"/>
  <c r="AI16" i="32"/>
  <c r="AH16" i="32"/>
  <c r="AG16" i="32"/>
  <c r="AI15" i="32"/>
  <c r="AH15" i="32"/>
  <c r="AG15" i="32"/>
  <c r="AI14" i="32"/>
  <c r="AH14" i="32"/>
  <c r="AG14" i="32"/>
  <c r="AI13" i="32"/>
  <c r="AH13" i="32"/>
  <c r="AG13" i="32"/>
  <c r="AI12" i="32"/>
  <c r="AH12" i="32"/>
  <c r="AG12" i="32"/>
  <c r="AI11" i="32"/>
  <c r="AH11" i="32"/>
  <c r="AG11" i="32"/>
  <c r="AI10" i="32"/>
  <c r="AH10" i="32"/>
  <c r="AG10" i="32"/>
  <c r="AI9" i="32"/>
  <c r="AI27" i="32" s="1"/>
  <c r="AH9" i="32"/>
  <c r="AH27" i="32" s="1"/>
  <c r="AG9" i="32"/>
  <c r="AG27" i="32" s="1"/>
  <c r="AC6" i="32"/>
  <c r="J34" i="32" s="1"/>
  <c r="C36" i="31"/>
  <c r="D35" i="31"/>
  <c r="D34" i="31"/>
  <c r="D33" i="31"/>
  <c r="D32" i="31"/>
  <c r="D31" i="31"/>
  <c r="D30" i="31"/>
  <c r="D36" i="31" s="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AI26" i="31"/>
  <c r="AH26" i="31"/>
  <c r="AG26" i="31"/>
  <c r="AI25" i="31"/>
  <c r="AH25" i="31"/>
  <c r="AG25" i="31"/>
  <c r="AI24" i="31"/>
  <c r="AH24" i="31"/>
  <c r="AG24" i="31"/>
  <c r="AI23" i="31"/>
  <c r="AH23" i="31"/>
  <c r="AG23" i="31"/>
  <c r="AI22" i="31"/>
  <c r="AH22" i="31"/>
  <c r="AG22" i="31"/>
  <c r="AI21" i="31"/>
  <c r="AH21" i="31"/>
  <c r="AG21" i="31"/>
  <c r="AI20" i="31"/>
  <c r="AH20" i="31"/>
  <c r="AG20" i="31"/>
  <c r="AI19" i="31"/>
  <c r="AH19" i="31"/>
  <c r="AG19" i="31"/>
  <c r="AI18" i="31"/>
  <c r="AH18" i="31"/>
  <c r="AG18" i="31"/>
  <c r="AI17" i="31"/>
  <c r="AH17" i="31"/>
  <c r="AG17" i="31"/>
  <c r="AI16" i="31"/>
  <c r="AH16" i="31"/>
  <c r="AG16" i="31"/>
  <c r="AI15" i="31"/>
  <c r="AH15" i="31"/>
  <c r="AG15" i="31"/>
  <c r="AI14" i="31"/>
  <c r="AH14" i="31"/>
  <c r="AG14" i="31"/>
  <c r="AI13" i="31"/>
  <c r="AH13" i="31"/>
  <c r="AG13" i="31"/>
  <c r="AI12" i="31"/>
  <c r="AH12" i="31"/>
  <c r="AG12" i="31"/>
  <c r="AI11" i="31"/>
  <c r="AH11" i="31"/>
  <c r="AG11" i="31"/>
  <c r="AI10" i="31"/>
  <c r="AH10" i="31"/>
  <c r="AG10" i="31"/>
  <c r="AI9" i="31"/>
  <c r="AH9" i="31"/>
  <c r="AG9" i="31"/>
  <c r="AC6" i="31"/>
  <c r="J34" i="31" s="1"/>
  <c r="C36" i="30"/>
  <c r="D35" i="30"/>
  <c r="D34" i="30"/>
  <c r="D33" i="30"/>
  <c r="D32" i="30"/>
  <c r="D31" i="30"/>
  <c r="D30" i="30"/>
  <c r="D36" i="30" s="1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AI26" i="30"/>
  <c r="AH26" i="30"/>
  <c r="AG26" i="30"/>
  <c r="AI25" i="30"/>
  <c r="AH25" i="30"/>
  <c r="AG25" i="30"/>
  <c r="AI24" i="30"/>
  <c r="AH24" i="30"/>
  <c r="AG24" i="30"/>
  <c r="AI23" i="30"/>
  <c r="AH23" i="30"/>
  <c r="AG23" i="30"/>
  <c r="AI22" i="30"/>
  <c r="AH22" i="30"/>
  <c r="AG22" i="30"/>
  <c r="AI21" i="30"/>
  <c r="AH21" i="30"/>
  <c r="AG21" i="30"/>
  <c r="AI20" i="30"/>
  <c r="AH20" i="30"/>
  <c r="AG20" i="30"/>
  <c r="AI19" i="30"/>
  <c r="AH19" i="30"/>
  <c r="AG19" i="30"/>
  <c r="AI18" i="30"/>
  <c r="AH18" i="30"/>
  <c r="AG18" i="30"/>
  <c r="AI17" i="30"/>
  <c r="AH17" i="30"/>
  <c r="AG17" i="30"/>
  <c r="AI16" i="30"/>
  <c r="AH16" i="30"/>
  <c r="AG16" i="30"/>
  <c r="AI15" i="30"/>
  <c r="AH15" i="30"/>
  <c r="AG15" i="30"/>
  <c r="AI14" i="30"/>
  <c r="AH14" i="30"/>
  <c r="AG14" i="30"/>
  <c r="AI13" i="30"/>
  <c r="AH13" i="30"/>
  <c r="AG13" i="30"/>
  <c r="AI12" i="30"/>
  <c r="AH12" i="30"/>
  <c r="AG12" i="30"/>
  <c r="AI11" i="30"/>
  <c r="AH11" i="30"/>
  <c r="AG11" i="30"/>
  <c r="AI10" i="30"/>
  <c r="AH10" i="30"/>
  <c r="AG10" i="30"/>
  <c r="AI9" i="30"/>
  <c r="AH9" i="30"/>
  <c r="AG9" i="30"/>
  <c r="AC6" i="30"/>
  <c r="J34" i="30" s="1"/>
  <c r="C36" i="29"/>
  <c r="D31" i="29"/>
  <c r="D32" i="29"/>
  <c r="D33" i="29"/>
  <c r="D34" i="29"/>
  <c r="D35" i="29"/>
  <c r="D30" i="29"/>
  <c r="AI27" i="45" l="1"/>
  <c r="AH27" i="43"/>
  <c r="AG27" i="43"/>
  <c r="AG27" i="45"/>
  <c r="AH27" i="45"/>
  <c r="Y6" i="45"/>
  <c r="U6" i="45" s="1"/>
  <c r="Q6" i="45" s="1"/>
  <c r="M6" i="45" s="1"/>
  <c r="I6" i="45" s="1"/>
  <c r="E6" i="45" s="1"/>
  <c r="AH27" i="44"/>
  <c r="Y6" i="46"/>
  <c r="U6" i="46" s="1"/>
  <c r="Q6" i="46" s="1"/>
  <c r="M6" i="46" s="1"/>
  <c r="I6" i="46" s="1"/>
  <c r="E6" i="46" s="1"/>
  <c r="AG27" i="44"/>
  <c r="Y6" i="44"/>
  <c r="U6" i="44" s="1"/>
  <c r="Q6" i="44" s="1"/>
  <c r="M6" i="44" s="1"/>
  <c r="I6" i="44" s="1"/>
  <c r="E6" i="44" s="1"/>
  <c r="Y6" i="43"/>
  <c r="U6" i="43" s="1"/>
  <c r="Q6" i="43" s="1"/>
  <c r="M6" i="43" s="1"/>
  <c r="I6" i="43" s="1"/>
  <c r="E6" i="43" s="1"/>
  <c r="AI27" i="30"/>
  <c r="Y6" i="36"/>
  <c r="U6" i="36" s="1"/>
  <c r="Q6" i="36" s="1"/>
  <c r="M6" i="36" s="1"/>
  <c r="I6" i="36" s="1"/>
  <c r="E6" i="36" s="1"/>
  <c r="AI27" i="38"/>
  <c r="Y6" i="38"/>
  <c r="U6" i="38" s="1"/>
  <c r="Q6" i="38" s="1"/>
  <c r="M6" i="38" s="1"/>
  <c r="I6" i="38" s="1"/>
  <c r="E6" i="38" s="1"/>
  <c r="AI27" i="31"/>
  <c r="AH27" i="38"/>
  <c r="AH27" i="31"/>
  <c r="AG27" i="40"/>
  <c r="AI27" i="39"/>
  <c r="AG27" i="39"/>
  <c r="AI27" i="41"/>
  <c r="AG27" i="41"/>
  <c r="AH27" i="41"/>
  <c r="Y6" i="41"/>
  <c r="U6" i="41" s="1"/>
  <c r="Q6" i="41" s="1"/>
  <c r="M6" i="41" s="1"/>
  <c r="I6" i="41" s="1"/>
  <c r="E6" i="41" s="1"/>
  <c r="AH27" i="40"/>
  <c r="Y6" i="40"/>
  <c r="U6" i="40" s="1"/>
  <c r="Q6" i="40" s="1"/>
  <c r="M6" i="40" s="1"/>
  <c r="I6" i="40" s="1"/>
  <c r="E6" i="40" s="1"/>
  <c r="AH27" i="39"/>
  <c r="Y6" i="39"/>
  <c r="U6" i="39" s="1"/>
  <c r="Q6" i="39" s="1"/>
  <c r="M6" i="39" s="1"/>
  <c r="I6" i="39" s="1"/>
  <c r="E6" i="39" s="1"/>
  <c r="Y6" i="32"/>
  <c r="U6" i="32" s="1"/>
  <c r="Q6" i="32" s="1"/>
  <c r="M6" i="32" s="1"/>
  <c r="I6" i="32" s="1"/>
  <c r="E6" i="32" s="1"/>
  <c r="AI27" i="36"/>
  <c r="AG27" i="34"/>
  <c r="AG27" i="38"/>
  <c r="AG27" i="30"/>
  <c r="AH27" i="30"/>
  <c r="AG27" i="31"/>
  <c r="AG27" i="33"/>
  <c r="AH27" i="33"/>
  <c r="AG27" i="36"/>
  <c r="Y6" i="31"/>
  <c r="U6" i="31" s="1"/>
  <c r="Q6" i="31" s="1"/>
  <c r="M6" i="31" s="1"/>
  <c r="I6" i="31" s="1"/>
  <c r="E6" i="31" s="1"/>
  <c r="AH27" i="36"/>
  <c r="Y6" i="34"/>
  <c r="U6" i="34" s="1"/>
  <c r="Q6" i="34" s="1"/>
  <c r="M6" i="34" s="1"/>
  <c r="I6" i="34" s="1"/>
  <c r="E6" i="34" s="1"/>
  <c r="Y6" i="33"/>
  <c r="U6" i="33" s="1"/>
  <c r="Q6" i="33" s="1"/>
  <c r="M6" i="33" s="1"/>
  <c r="I6" i="33" s="1"/>
  <c r="E6" i="33" s="1"/>
  <c r="Y6" i="30"/>
  <c r="U6" i="30" s="1"/>
  <c r="Q6" i="30" s="1"/>
  <c r="M6" i="30" s="1"/>
  <c r="I6" i="30" s="1"/>
  <c r="E6" i="30" s="1"/>
  <c r="D36" i="29"/>
  <c r="AF27" i="29" l="1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AI26" i="29"/>
  <c r="AH26" i="29"/>
  <c r="AG26" i="29"/>
  <c r="AI25" i="29"/>
  <c r="AH25" i="29"/>
  <c r="AG25" i="29"/>
  <c r="AI24" i="29"/>
  <c r="AH24" i="29"/>
  <c r="AG24" i="29"/>
  <c r="AI23" i="29"/>
  <c r="AH23" i="29"/>
  <c r="AG23" i="29"/>
  <c r="AI22" i="29"/>
  <c r="AH22" i="29"/>
  <c r="AG22" i="29"/>
  <c r="AI21" i="29"/>
  <c r="AH21" i="29"/>
  <c r="AG21" i="29"/>
  <c r="AI20" i="29"/>
  <c r="AH20" i="29"/>
  <c r="AG20" i="29"/>
  <c r="AI19" i="29"/>
  <c r="AH19" i="29"/>
  <c r="AG19" i="29"/>
  <c r="AI18" i="29"/>
  <c r="AH18" i="29"/>
  <c r="AG18" i="29"/>
  <c r="AI17" i="29"/>
  <c r="AH17" i="29"/>
  <c r="AG17" i="29"/>
  <c r="AI16" i="29"/>
  <c r="AH16" i="29"/>
  <c r="AG16" i="29"/>
  <c r="AI15" i="29"/>
  <c r="AH15" i="29"/>
  <c r="AG15" i="29"/>
  <c r="AI14" i="29"/>
  <c r="AH14" i="29"/>
  <c r="AG14" i="29"/>
  <c r="AI13" i="29"/>
  <c r="AH13" i="29"/>
  <c r="AG13" i="29"/>
  <c r="AI12" i="29"/>
  <c r="AH12" i="29"/>
  <c r="AG12" i="29"/>
  <c r="AI11" i="29"/>
  <c r="AH11" i="29"/>
  <c r="AG11" i="29"/>
  <c r="AI10" i="29"/>
  <c r="AH10" i="29"/>
  <c r="AG10" i="29"/>
  <c r="AI9" i="29"/>
  <c r="AI27" i="29" s="1"/>
  <c r="AH9" i="29"/>
  <c r="AH27" i="29" s="1"/>
  <c r="AG9" i="29"/>
  <c r="AG27" i="29" s="1"/>
  <c r="AC6" i="29"/>
  <c r="J34" i="29" s="1"/>
  <c r="Y6" i="29" l="1"/>
  <c r="U6" i="29" s="1"/>
  <c r="Q6" i="29" s="1"/>
  <c r="M6" i="29" s="1"/>
  <c r="I6" i="29" s="1"/>
  <c r="E6" i="29" s="1"/>
</calcChain>
</file>

<file path=xl/sharedStrings.xml><?xml version="1.0" encoding="utf-8"?>
<sst xmlns="http://schemas.openxmlformats.org/spreadsheetml/2006/main" count="29999" uniqueCount="119">
  <si>
    <t>Don Gallegos - CGF</t>
  </si>
  <si>
    <t>WEEKLY EMPLOYEE TIMESHEET</t>
  </si>
  <si>
    <t> </t>
  </si>
  <si>
    <t>Employee Name</t>
  </si>
  <si>
    <t>Industrial Constructors/Managers, Inc.</t>
  </si>
  <si>
    <t>Period Ending Sunday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</si>
  <si>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</si>
  <si>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</si>
  <si>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</si>
  <si>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</si>
  <si>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</si>
  <si>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</si>
  <si>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</si>
  <si>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</si>
  <si>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Week Totals</t>
  </si>
  <si>
    <t>Job Number, Phase, Category &amp; Description:</t>
  </si>
  <si>
    <t>ST</t>
  </si>
  <si>
    <t>OT</t>
  </si>
  <si>
    <t>DT</t>
  </si>
  <si>
    <t>Rate Modifier</t>
  </si>
  <si>
    <t>D25746.02.03005.OTF - Concrete Labor</t>
  </si>
  <si>
    <t>D25746.03.03006.P2N TF - Concrete Labor</t>
  </si>
  <si>
    <t>D25746.06.03005.P1N - Concrete Labor</t>
  </si>
  <si>
    <t>D25746.01.03005.Misc. Concrete Field Labor</t>
  </si>
  <si>
    <t>D26535.02.02000 - FT. ST. Vrain Pond Dred</t>
  </si>
  <si>
    <t>Daily Totals:</t>
  </si>
  <si>
    <t>Mileage Reimbursement</t>
  </si>
  <si>
    <t>Purpose</t>
  </si>
  <si>
    <t># of Miles</t>
  </si>
  <si>
    <t>Amount</t>
  </si>
  <si>
    <t>Job/7180.</t>
  </si>
  <si>
    <t>AUTO Allowance (Check Days that Apply)</t>
  </si>
  <si>
    <t>Key For Rate Modifier Column:</t>
  </si>
  <si>
    <t>Mon</t>
  </si>
  <si>
    <t>Tues</t>
  </si>
  <si>
    <t>Weds</t>
  </si>
  <si>
    <t>Thurs</t>
  </si>
  <si>
    <t>Fri</t>
  </si>
  <si>
    <t>Sat</t>
  </si>
  <si>
    <t>Sun</t>
  </si>
  <si>
    <t xml:space="preserve"> </t>
  </si>
  <si>
    <t>PD $$</t>
  </si>
  <si>
    <t>For Per Diem, use PD, followed by the rate</t>
  </si>
  <si>
    <t>PF58</t>
  </si>
  <si>
    <t>Pipefitter Local #58</t>
  </si>
  <si>
    <t>SD</t>
  </si>
  <si>
    <t>For Night Shift Differential</t>
  </si>
  <si>
    <t>PF208</t>
  </si>
  <si>
    <t>Pipefitter Local#208</t>
  </si>
  <si>
    <t>Approved: John Bowers</t>
  </si>
  <si>
    <t>HZ/CS</t>
  </si>
  <si>
    <t>For Hazardous Pay / Confined Space</t>
  </si>
  <si>
    <t>Date:</t>
  </si>
  <si>
    <t>FM/GF</t>
  </si>
  <si>
    <t>Use when paying above scale</t>
  </si>
  <si>
    <t>Totals</t>
  </si>
  <si>
    <t>Juan Alcarez - CMJ</t>
  </si>
  <si>
    <t>FMLA Leave</t>
  </si>
  <si>
    <t>Salvador Alvarez - CM</t>
  </si>
  <si>
    <t>Mexico</t>
  </si>
  <si>
    <t>Christian Castrence - CJ</t>
  </si>
  <si>
    <t>Austin Coleman - CMA</t>
  </si>
  <si>
    <t>Francisco Diaz - CMJ</t>
  </si>
  <si>
    <t>D25726.01.06005. Decon - Misc. Carpenter Labor</t>
  </si>
  <si>
    <t>Julian Gonzalez - CP</t>
  </si>
  <si>
    <t>Magdaleno Lomeli - CM</t>
  </si>
  <si>
    <t>Darius McCaleb - CP</t>
  </si>
  <si>
    <t>Colin Posey - CMJ</t>
  </si>
  <si>
    <t>Marco Ramirez - CMA</t>
  </si>
  <si>
    <t>Ignacio Sanchez - CM</t>
  </si>
  <si>
    <t>James Serna - CMGF</t>
  </si>
  <si>
    <t xml:space="preserve">Enrique Yanez - </t>
  </si>
  <si>
    <t>D25746.02.03006.P2A INT - Concrete Labor</t>
  </si>
  <si>
    <t>Corden Pharma Phase Codes:</t>
  </si>
  <si>
    <t>Rate Modifier:</t>
  </si>
  <si>
    <t>PD200</t>
  </si>
  <si>
    <t>FM</t>
  </si>
  <si>
    <t>GF</t>
  </si>
  <si>
    <t>D25746.03.03005.P2A TF - Concrete Labor</t>
  </si>
  <si>
    <t>D25746.03.03007.P2N INT - Concrete Labor</t>
  </si>
  <si>
    <t>D25746.04.03005.P2S TF - Concrete Labor</t>
  </si>
  <si>
    <t>D25746.04.03006.P2S INT - Concrete Labor</t>
  </si>
  <si>
    <t>D25746.05.03005.WH - Concrete Labor</t>
  </si>
  <si>
    <t>D25746.07.03005.P2A - Concrete Labor</t>
  </si>
  <si>
    <t>D25746.07.03006.P2N - Concrete Labor</t>
  </si>
  <si>
    <t>D25746.08.03005. Cold Storage - Misc. Concrete Labor</t>
  </si>
  <si>
    <t>D25746.11.03005. Cold Storage - Concrete Labor</t>
  </si>
  <si>
    <t>D25665.CO.03279 - Kiewit - Finishing</t>
  </si>
  <si>
    <t>D25747.05.02008 - MSRS &amp; KD MEZZ</t>
  </si>
  <si>
    <t>Name:</t>
  </si>
  <si>
    <t>Salvador Alvarez - CMJ</t>
  </si>
  <si>
    <t>Gerardo Gonzalez - OP</t>
  </si>
  <si>
    <t>Magdaleno Lomeli - CJ</t>
  </si>
  <si>
    <t>Darius McCaleb - CJ</t>
  </si>
  <si>
    <t>Ignacio Sanchez - CMJ</t>
  </si>
  <si>
    <t>Christopher Buschman - IWGF</t>
  </si>
  <si>
    <t>John Grich - IWJ</t>
  </si>
  <si>
    <t>Eric Bongiorno - IWLM</t>
  </si>
  <si>
    <t>Frank Halterman - IWJ</t>
  </si>
  <si>
    <t>Joe Hunt - IWF</t>
  </si>
  <si>
    <t>Eric Hutchings - IWJ</t>
  </si>
  <si>
    <t>Thomas Shelton - IWJ</t>
  </si>
  <si>
    <t>Avery Scott - IWA</t>
  </si>
  <si>
    <t>Rodrigo Diaz - IWF</t>
  </si>
  <si>
    <t>Sebastian Ruiz - IWA</t>
  </si>
  <si>
    <t>Eduardo Garay - IWJ</t>
  </si>
  <si>
    <t>Tomas Martinez - MWGF</t>
  </si>
  <si>
    <t>Hayden Ballard - MWF</t>
  </si>
  <si>
    <t>Jesus Zamarripa - MWJ</t>
  </si>
  <si>
    <t>Demetrius Bischoff - MWJ</t>
  </si>
  <si>
    <t>Darius Bischoff - MWJ</t>
  </si>
  <si>
    <t>Aiden Bischoff - MWA</t>
  </si>
  <si>
    <t>Cullen Garner - MWA</t>
  </si>
  <si>
    <t>John Bowers - PM</t>
  </si>
  <si>
    <t>James Hernandez - SUPT</t>
  </si>
  <si>
    <t>Russel Ohler - SUPT</t>
  </si>
  <si>
    <t>Patrick Hebert - Saftey</t>
  </si>
  <si>
    <t>Mark Mann - PE</t>
  </si>
  <si>
    <t>Ryan Snover -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</si>
</sst>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Aptos Narrow"/>
      <family val="2"/>
      <scheme val="minor"/>
    </font>
    <font>
      <b/>
      <sz val="26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25"/>
      <color rgb="FFFF0000"/>
      <name val="Arial"/>
      <family val="2"/>
    </font>
    <font>
      <b/>
      <i/>
      <u/>
      <sz val="25"/>
      <name val="Arial"/>
      <family val="2"/>
    </font>
    <font>
      <sz val="14"/>
      <name val="Arial"/>
      <family val="2"/>
    </font>
    <font>
      <b/>
      <sz val="14"/>
      <color rgb="FF96363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963634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36"/>
      <name val="Arial"/>
      <family val="2"/>
    </font>
    <font>
      <sz val="30"/>
      <name val="Arial"/>
      <family val="2"/>
    </font>
    <font>
      <b/>
      <sz val="11"/>
      <color theme="1"/>
      <name val="Aptos Narrow"/>
      <family val="2"/>
      <scheme val="minor"/>
    </font>
    <font>
      <b/>
      <sz val="20"/>
      <color rgb="FFFF0000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5" fillId="2" borderId="0" xfId="0" applyFont="1" applyFill="1"/>
    <xf numFmtId="0" fontId="11" fillId="2" borderId="0" xfId="0" applyFont="1" applyFill="1"/>
    <xf numFmtId="0" fontId="2" fillId="2" borderId="0" xfId="0" applyFont="1" applyFill="1"/>
    <xf numFmtId="0" fontId="19" fillId="0" borderId="0" xfId="0" applyFont="1"/>
    <xf numFmtId="43" fontId="3" fillId="0" borderId="57" xfId="0" applyNumberFormat="1" applyFont="1" applyBorder="1" applyProtection="1">
      <protection locked="0"/>
    </xf>
    <xf numFmtId="43" fontId="3" fillId="0" borderId="41" xfId="0" applyNumberFormat="1" applyFont="1" applyBorder="1" applyProtection="1">
      <protection locked="0"/>
    </xf>
    <xf numFmtId="43" fontId="3" fillId="0" borderId="74" xfId="0" applyNumberFormat="1" applyFont="1" applyBorder="1" applyProtection="1">
      <protection locked="0"/>
    </xf>
    <xf numFmtId="43" fontId="3" fillId="0" borderId="56" xfId="0" applyNumberFormat="1" applyFont="1" applyBorder="1" applyProtection="1">
      <protection locked="0"/>
    </xf>
    <xf numFmtId="43" fontId="3" fillId="0" borderId="75" xfId="0" applyNumberFormat="1" applyFont="1" applyBorder="1" applyProtection="1">
      <protection locked="0"/>
    </xf>
    <xf numFmtId="43" fontId="3" fillId="0" borderId="20" xfId="0" applyNumberFormat="1" applyFont="1" applyBorder="1" applyProtection="1">
      <protection locked="0"/>
    </xf>
    <xf numFmtId="43" fontId="3" fillId="0" borderId="19" xfId="0" applyNumberFormat="1" applyFont="1" applyBorder="1" applyProtection="1">
      <protection locked="0"/>
    </xf>
    <xf numFmtId="43" fontId="3" fillId="0" borderId="16" xfId="0" applyNumberFormat="1" applyFont="1" applyBorder="1" applyProtection="1">
      <protection locked="0"/>
    </xf>
    <xf numFmtId="43" fontId="3" fillId="0" borderId="64" xfId="0" applyNumberFormat="1" applyFont="1" applyBorder="1" applyProtection="1">
      <protection locked="0"/>
    </xf>
    <xf numFmtId="43" fontId="3" fillId="0" borderId="63" xfId="0" applyNumberFormat="1" applyFont="1" applyBorder="1" applyProtection="1">
      <protection locked="0"/>
    </xf>
    <xf numFmtId="43" fontId="3" fillId="0" borderId="14" xfId="0" applyNumberFormat="1" applyFont="1" applyBorder="1" applyProtection="1">
      <protection locked="0"/>
    </xf>
    <xf numFmtId="43" fontId="3" fillId="0" borderId="0" xfId="0" applyNumberFormat="1" applyFont="1" applyProtection="1">
      <protection locked="0"/>
    </xf>
    <xf numFmtId="43" fontId="3" fillId="0" borderId="25" xfId="0" applyNumberFormat="1" applyFont="1" applyBorder="1" applyProtection="1">
      <protection locked="0"/>
    </xf>
    <xf numFmtId="43" fontId="3" fillId="0" borderId="65" xfId="0" applyNumberFormat="1" applyFont="1" applyBorder="1" applyProtection="1">
      <protection locked="0"/>
    </xf>
    <xf numFmtId="43" fontId="3" fillId="0" borderId="15" xfId="0" applyNumberFormat="1" applyFont="1" applyBorder="1" applyProtection="1">
      <protection locked="0"/>
    </xf>
    <xf numFmtId="43" fontId="3" fillId="0" borderId="28" xfId="0" applyNumberFormat="1" applyFont="1" applyBorder="1" applyProtection="1">
      <protection locked="0"/>
    </xf>
    <xf numFmtId="43" fontId="3" fillId="0" borderId="22" xfId="0" applyNumberFormat="1" applyFont="1" applyBorder="1" applyProtection="1">
      <protection locked="0"/>
    </xf>
    <xf numFmtId="43" fontId="3" fillId="0" borderId="23" xfId="0" applyNumberFormat="1" applyFont="1" applyBorder="1" applyProtection="1">
      <protection locked="0"/>
    </xf>
    <xf numFmtId="43" fontId="3" fillId="0" borderId="66" xfId="0" applyNumberFormat="1" applyFont="1" applyBorder="1" applyProtection="1">
      <protection locked="0"/>
    </xf>
    <xf numFmtId="43" fontId="3" fillId="0" borderId="67" xfId="0" applyNumberFormat="1" applyFont="1" applyBorder="1" applyProtection="1">
      <protection locked="0"/>
    </xf>
    <xf numFmtId="43" fontId="3" fillId="0" borderId="30" xfId="0" applyNumberFormat="1" applyFont="1" applyBorder="1" applyProtection="1">
      <protection locked="0"/>
    </xf>
    <xf numFmtId="43" fontId="3" fillId="0" borderId="1" xfId="0" applyNumberFormat="1" applyFont="1" applyBorder="1" applyProtection="1">
      <protection locked="0"/>
    </xf>
    <xf numFmtId="43" fontId="3" fillId="0" borderId="78" xfId="0" applyNumberFormat="1" applyFont="1" applyBorder="1" applyProtection="1">
      <protection locked="0"/>
    </xf>
    <xf numFmtId="43" fontId="3" fillId="0" borderId="31" xfId="0" applyNumberFormat="1" applyFont="1" applyBorder="1" applyProtection="1">
      <protection locked="0"/>
    </xf>
    <xf numFmtId="43" fontId="3" fillId="0" borderId="79" xfId="0" applyNumberFormat="1" applyFont="1" applyBorder="1" applyProtection="1">
      <protection locked="0"/>
    </xf>
    <xf numFmtId="0" fontId="5" fillId="0" borderId="0" xfId="0" applyFont="1"/>
    <xf numFmtId="0" fontId="11" fillId="0" borderId="0" xfId="0" applyFont="1"/>
    <xf numFmtId="0" fontId="2" fillId="0" borderId="0" xfId="0" applyFont="1"/>
    <xf numFmtId="0" fontId="13" fillId="0" borderId="14" xfId="0" applyFont="1" applyBorder="1"/>
    <xf numFmtId="0" fontId="13" fillId="0" borderId="0" xfId="0" applyFont="1"/>
    <xf numFmtId="0" fontId="13" fillId="0" borderId="15" xfId="0" applyFont="1" applyBorder="1"/>
    <xf numFmtId="43" fontId="13" fillId="0" borderId="40" xfId="0" applyNumberFormat="1" applyFont="1" applyBorder="1"/>
    <xf numFmtId="43" fontId="13" fillId="0" borderId="41" xfId="0" applyNumberFormat="1" applyFont="1" applyBorder="1"/>
    <xf numFmtId="43" fontId="13" fillId="0" borderId="42" xfId="0" applyNumberFormat="1" applyFont="1" applyBorder="1"/>
    <xf numFmtId="43" fontId="13" fillId="0" borderId="43" xfId="0" applyNumberFormat="1" applyFont="1" applyBorder="1"/>
    <xf numFmtId="43" fontId="13" fillId="0" borderId="19" xfId="0" applyNumberFormat="1" applyFont="1" applyBorder="1"/>
    <xf numFmtId="43" fontId="13" fillId="0" borderId="44" xfId="0" applyNumberFormat="1" applyFont="1" applyBorder="1"/>
    <xf numFmtId="43" fontId="13" fillId="0" borderId="45" xfId="0" applyNumberFormat="1" applyFont="1" applyBorder="1"/>
    <xf numFmtId="43" fontId="13" fillId="0" borderId="1" xfId="0" applyNumberFormat="1" applyFont="1" applyBorder="1"/>
    <xf numFmtId="43" fontId="13" fillId="0" borderId="46" xfId="0" applyNumberFormat="1" applyFont="1" applyBorder="1"/>
    <xf numFmtId="43" fontId="13" fillId="0" borderId="29" xfId="0" applyNumberFormat="1" applyFont="1" applyBorder="1"/>
    <xf numFmtId="43" fontId="13" fillId="0" borderId="39" xfId="0" applyNumberFormat="1" applyFont="1" applyBorder="1"/>
    <xf numFmtId="43" fontId="13" fillId="0" borderId="32" xfId="0" applyNumberFormat="1" applyFont="1" applyBorder="1"/>
    <xf numFmtId="0" fontId="17" fillId="0" borderId="0" xfId="0" applyFont="1"/>
    <xf numFmtId="0" fontId="6" fillId="0" borderId="0" xfId="0" applyFont="1"/>
    <xf numFmtId="0" fontId="0" fillId="0" borderId="2" xfId="0" applyBorder="1"/>
    <xf numFmtId="0" fontId="4" fillId="0" borderId="0" xfId="0" applyFont="1"/>
    <xf numFmtId="0" fontId="1" fillId="0" borderId="0" xfId="0" applyFont="1"/>
    <xf numFmtId="0" fontId="16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0" fontId="2" fillId="0" borderId="1" xfId="0" applyFont="1" applyBorder="1"/>
    <xf numFmtId="0" fontId="9" fillId="0" borderId="0" xfId="0" applyFont="1"/>
    <xf numFmtId="0" fontId="10" fillId="0" borderId="0" xfId="0" applyFont="1"/>
    <xf numFmtId="0" fontId="13" fillId="0" borderId="21" xfId="0" applyFont="1" applyBorder="1"/>
    <xf numFmtId="0" fontId="13" fillId="0" borderId="47" xfId="0" applyFont="1" applyBorder="1"/>
    <xf numFmtId="0" fontId="14" fillId="0" borderId="69" xfId="0" applyFont="1" applyBorder="1" applyAlignment="1">
      <alignment wrapText="1"/>
    </xf>
    <xf numFmtId="0" fontId="13" fillId="0" borderId="70" xfId="0" applyFont="1" applyBorder="1"/>
    <xf numFmtId="0" fontId="14" fillId="0" borderId="71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72" xfId="0" applyFont="1" applyBorder="1" applyAlignment="1">
      <alignment wrapText="1"/>
    </xf>
    <xf numFmtId="43" fontId="4" fillId="0" borderId="31" xfId="0" applyNumberFormat="1" applyFont="1" applyBorder="1"/>
    <xf numFmtId="43" fontId="4" fillId="0" borderId="8" xfId="0" applyNumberFormat="1" applyFont="1" applyBorder="1"/>
    <xf numFmtId="43" fontId="4" fillId="0" borderId="35" xfId="0" applyNumberFormat="1" applyFont="1" applyBorder="1"/>
    <xf numFmtId="43" fontId="4" fillId="0" borderId="30" xfId="0" applyNumberFormat="1" applyFont="1" applyBorder="1"/>
    <xf numFmtId="0" fontId="16" fillId="0" borderId="0" xfId="0" applyFont="1"/>
    <xf numFmtId="0" fontId="15" fillId="0" borderId="0" xfId="0" applyFont="1"/>
    <xf numFmtId="0" fontId="16" fillId="3" borderId="33" xfId="0" applyFont="1" applyFill="1" applyBorder="1" applyAlignment="1">
      <alignment vertical="center"/>
    </xf>
    <xf numFmtId="0" fontId="3" fillId="0" borderId="5" xfId="0" applyFont="1" applyBorder="1"/>
    <xf numFmtId="0" fontId="3" fillId="0" borderId="6" xfId="0" applyFont="1" applyBorder="1"/>
    <xf numFmtId="0" fontId="5" fillId="0" borderId="6" xfId="0" applyFont="1" applyBorder="1"/>
    <xf numFmtId="0" fontId="5" fillId="0" borderId="7" xfId="0" applyFont="1" applyBorder="1"/>
    <xf numFmtId="0" fontId="5" fillId="3" borderId="33" xfId="0" applyFont="1" applyFill="1" applyBorder="1"/>
    <xf numFmtId="0" fontId="15" fillId="3" borderId="33" xfId="0" applyFont="1" applyFill="1" applyBorder="1"/>
    <xf numFmtId="0" fontId="2" fillId="0" borderId="6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9" fillId="0" borderId="10" xfId="0" applyFont="1" applyBorder="1"/>
    <xf numFmtId="0" fontId="9" fillId="0" borderId="33" xfId="0" applyFont="1" applyBorder="1"/>
    <xf numFmtId="0" fontId="9" fillId="0" borderId="34" xfId="0" applyFont="1" applyBorder="1"/>
    <xf numFmtId="0" fontId="20" fillId="0" borderId="0" xfId="0" applyFont="1"/>
    <xf numFmtId="0" fontId="18" fillId="0" borderId="0" xfId="0" applyFont="1"/>
    <xf numFmtId="0" fontId="16" fillId="3" borderId="33" xfId="0" applyFont="1" applyFill="1" applyBorder="1"/>
    <xf numFmtId="0" fontId="5" fillId="0" borderId="37" xfId="0" applyFont="1" applyBorder="1"/>
    <xf numFmtId="0" fontId="5" fillId="0" borderId="2" xfId="0" applyFont="1" applyBorder="1"/>
    <xf numFmtId="0" fontId="5" fillId="0" borderId="38" xfId="0" applyFont="1" applyBorder="1"/>
    <xf numFmtId="14" fontId="3" fillId="0" borderId="1" xfId="0" applyNumberFormat="1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35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83" xfId="0" applyFont="1" applyBorder="1"/>
    <xf numFmtId="43" fontId="3" fillId="4" borderId="57" xfId="0" applyNumberFormat="1" applyFont="1" applyFill="1" applyBorder="1" applyProtection="1">
      <protection locked="0"/>
    </xf>
    <xf numFmtId="43" fontId="3" fillId="4" borderId="41" xfId="0" applyNumberFormat="1" applyFont="1" applyFill="1" applyBorder="1" applyProtection="1">
      <protection locked="0"/>
    </xf>
    <xf numFmtId="43" fontId="3" fillId="4" borderId="20" xfId="0" applyNumberFormat="1" applyFont="1" applyFill="1" applyBorder="1" applyProtection="1">
      <protection locked="0"/>
    </xf>
    <xf numFmtId="43" fontId="3" fillId="4" borderId="19" xfId="0" applyNumberFormat="1" applyFont="1" applyFill="1" applyBorder="1" applyProtection="1">
      <protection locked="0"/>
    </xf>
    <xf numFmtId="43" fontId="3" fillId="4" borderId="14" xfId="0" applyNumberFormat="1" applyFont="1" applyFill="1" applyBorder="1" applyProtection="1">
      <protection locked="0"/>
    </xf>
    <xf numFmtId="43" fontId="3" fillId="4" borderId="0" xfId="0" applyNumberFormat="1" applyFont="1" applyFill="1" applyProtection="1">
      <protection locked="0"/>
    </xf>
    <xf numFmtId="43" fontId="3" fillId="4" borderId="28" xfId="0" applyNumberFormat="1" applyFont="1" applyFill="1" applyBorder="1" applyProtection="1">
      <protection locked="0"/>
    </xf>
    <xf numFmtId="43" fontId="3" fillId="4" borderId="22" xfId="0" applyNumberFormat="1" applyFont="1" applyFill="1" applyBorder="1" applyProtection="1">
      <protection locked="0"/>
    </xf>
    <xf numFmtId="43" fontId="3" fillId="4" borderId="30" xfId="0" applyNumberFormat="1" applyFont="1" applyFill="1" applyBorder="1" applyProtection="1">
      <protection locked="0"/>
    </xf>
    <xf numFmtId="43" fontId="3" fillId="4" borderId="1" xfId="0" applyNumberFormat="1" applyFont="1" applyFill="1" applyBorder="1" applyProtection="1">
      <protection locked="0"/>
    </xf>
    <xf numFmtId="43" fontId="3" fillId="4" borderId="76" xfId="0" applyNumberFormat="1" applyFont="1" applyFill="1" applyBorder="1" applyProtection="1">
      <protection locked="0"/>
    </xf>
    <xf numFmtId="43" fontId="3" fillId="4" borderId="75" xfId="0" applyNumberFormat="1" applyFont="1" applyFill="1" applyBorder="1" applyProtection="1">
      <protection locked="0"/>
    </xf>
    <xf numFmtId="43" fontId="3" fillId="4" borderId="17" xfId="0" applyNumberFormat="1" applyFont="1" applyFill="1" applyBorder="1" applyProtection="1">
      <protection locked="0"/>
    </xf>
    <xf numFmtId="43" fontId="3" fillId="4" borderId="63" xfId="0" applyNumberFormat="1" applyFont="1" applyFill="1" applyBorder="1" applyProtection="1">
      <protection locked="0"/>
    </xf>
    <xf numFmtId="43" fontId="3" fillId="4" borderId="26" xfId="0" applyNumberFormat="1" applyFont="1" applyFill="1" applyBorder="1" applyProtection="1">
      <protection locked="0"/>
    </xf>
    <xf numFmtId="43" fontId="3" fillId="4" borderId="33" xfId="0" applyNumberFormat="1" applyFont="1" applyFill="1" applyBorder="1" applyProtection="1">
      <protection locked="0"/>
    </xf>
    <xf numFmtId="43" fontId="3" fillId="4" borderId="77" xfId="0" applyNumberFormat="1" applyFont="1" applyFill="1" applyBorder="1" applyProtection="1">
      <protection locked="0"/>
    </xf>
    <xf numFmtId="43" fontId="3" fillId="4" borderId="24" xfId="0" applyNumberFormat="1" applyFont="1" applyFill="1" applyBorder="1" applyProtection="1">
      <protection locked="0"/>
    </xf>
    <xf numFmtId="43" fontId="3" fillId="4" borderId="27" xfId="0" applyNumberFormat="1" applyFont="1" applyFill="1" applyBorder="1" applyProtection="1">
      <protection locked="0"/>
    </xf>
    <xf numFmtId="43" fontId="3" fillId="4" borderId="67" xfId="0" applyNumberFormat="1" applyFont="1" applyFill="1" applyBorder="1" applyProtection="1">
      <protection locked="0"/>
    </xf>
    <xf numFmtId="43" fontId="3" fillId="4" borderId="80" xfId="0" applyNumberFormat="1" applyFont="1" applyFill="1" applyBorder="1" applyProtection="1">
      <protection locked="0"/>
    </xf>
    <xf numFmtId="43" fontId="3" fillId="4" borderId="79" xfId="0" applyNumberFormat="1" applyFont="1" applyFill="1" applyBorder="1" applyProtection="1">
      <protection locked="0"/>
    </xf>
    <xf numFmtId="43" fontId="3" fillId="0" borderId="56" xfId="0" applyNumberFormat="1" applyFont="1" applyBorder="1" applyAlignment="1" applyProtection="1">
      <alignment horizontal="left"/>
      <protection locked="0"/>
    </xf>
    <xf numFmtId="43" fontId="3" fillId="0" borderId="57" xfId="0" applyNumberFormat="1" applyFont="1" applyBorder="1" applyAlignment="1" applyProtection="1">
      <alignment horizontal="left"/>
      <protection locked="0"/>
    </xf>
    <xf numFmtId="43" fontId="3" fillId="0" borderId="41" xfId="0" applyNumberFormat="1" applyFont="1" applyBorder="1" applyAlignment="1" applyProtection="1">
      <alignment horizontal="left"/>
      <protection locked="0"/>
    </xf>
    <xf numFmtId="43" fontId="3" fillId="0" borderId="75" xfId="0" applyNumberFormat="1" applyFont="1" applyBorder="1" applyAlignment="1" applyProtection="1">
      <alignment horizontal="left"/>
      <protection locked="0"/>
    </xf>
    <xf numFmtId="43" fontId="3" fillId="0" borderId="64" xfId="0" applyNumberFormat="1" applyFont="1" applyBorder="1" applyAlignment="1" applyProtection="1">
      <alignment horizontal="left"/>
      <protection locked="0"/>
    </xf>
    <xf numFmtId="43" fontId="3" fillId="0" borderId="20" xfId="0" applyNumberFormat="1" applyFont="1" applyBorder="1" applyAlignment="1" applyProtection="1">
      <alignment horizontal="left"/>
      <protection locked="0"/>
    </xf>
    <xf numFmtId="43" fontId="3" fillId="0" borderId="19" xfId="0" applyNumberFormat="1" applyFont="1" applyBorder="1" applyAlignment="1" applyProtection="1">
      <alignment horizontal="left"/>
      <protection locked="0"/>
    </xf>
    <xf numFmtId="43" fontId="3" fillId="0" borderId="63" xfId="0" applyNumberFormat="1" applyFont="1" applyBorder="1" applyAlignment="1" applyProtection="1">
      <alignment horizontal="left"/>
      <protection locked="0"/>
    </xf>
    <xf numFmtId="43" fontId="3" fillId="0" borderId="65" xfId="0" applyNumberFormat="1" applyFont="1" applyBorder="1" applyAlignment="1" applyProtection="1">
      <alignment horizontal="left"/>
      <protection locked="0"/>
    </xf>
    <xf numFmtId="43" fontId="3" fillId="0" borderId="14" xfId="0" applyNumberFormat="1" applyFont="1" applyBorder="1" applyAlignment="1" applyProtection="1">
      <alignment horizontal="left"/>
      <protection locked="0"/>
    </xf>
    <xf numFmtId="43" fontId="3" fillId="0" borderId="0" xfId="0" applyNumberFormat="1" applyFont="1" applyAlignment="1" applyProtection="1">
      <alignment horizontal="left"/>
      <protection locked="0"/>
    </xf>
    <xf numFmtId="43" fontId="3" fillId="0" borderId="15" xfId="0" applyNumberFormat="1" applyFont="1" applyBorder="1" applyAlignment="1" applyProtection="1">
      <alignment horizontal="left"/>
      <protection locked="0"/>
    </xf>
    <xf numFmtId="43" fontId="3" fillId="0" borderId="66" xfId="0" applyNumberFormat="1" applyFont="1" applyBorder="1" applyAlignment="1" applyProtection="1">
      <alignment horizontal="left"/>
      <protection locked="0"/>
    </xf>
    <xf numFmtId="43" fontId="3" fillId="0" borderId="22" xfId="0" applyNumberFormat="1" applyFont="1" applyBorder="1" applyAlignment="1" applyProtection="1">
      <alignment horizontal="left"/>
      <protection locked="0"/>
    </xf>
    <xf numFmtId="43" fontId="3" fillId="0" borderId="67" xfId="0" applyNumberFormat="1" applyFont="1" applyBorder="1" applyAlignment="1" applyProtection="1">
      <alignment horizontal="left"/>
      <protection locked="0"/>
    </xf>
    <xf numFmtId="43" fontId="3" fillId="0" borderId="31" xfId="0" applyNumberFormat="1" applyFont="1" applyBorder="1" applyAlignment="1" applyProtection="1">
      <alignment horizontal="left"/>
      <protection locked="0"/>
    </xf>
    <xf numFmtId="43" fontId="3" fillId="0" borderId="30" xfId="0" applyNumberFormat="1" applyFont="1" applyBorder="1" applyAlignment="1" applyProtection="1">
      <alignment horizontal="left"/>
      <protection locked="0"/>
    </xf>
    <xf numFmtId="43" fontId="3" fillId="0" borderId="1" xfId="0" applyNumberFormat="1" applyFont="1" applyBorder="1" applyAlignment="1" applyProtection="1">
      <alignment horizontal="left"/>
      <protection locked="0"/>
    </xf>
    <xf numFmtId="43" fontId="3" fillId="0" borderId="79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vertical="top"/>
    </xf>
    <xf numFmtId="20" fontId="3" fillId="0" borderId="56" xfId="0" applyNumberFormat="1" applyFont="1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4" fontId="2" fillId="0" borderId="8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5" fillId="0" borderId="4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50" xfId="0" applyFont="1" applyBorder="1" applyAlignment="1" applyProtection="1">
      <alignment horizontal="center"/>
      <protection locked="0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59" xfId="0" applyFont="1" applyBorder="1" applyAlignment="1">
      <alignment horizontal="left"/>
    </xf>
    <xf numFmtId="0" fontId="15" fillId="0" borderId="73" xfId="0" applyFont="1" applyBorder="1" applyAlignment="1" applyProtection="1">
      <alignment horizontal="left"/>
      <protection locked="0"/>
    </xf>
    <xf numFmtId="0" fontId="15" fillId="0" borderId="41" xfId="0" applyFont="1" applyBorder="1" applyAlignment="1" applyProtection="1">
      <alignment horizontal="left"/>
      <protection locked="0"/>
    </xf>
    <xf numFmtId="0" fontId="15" fillId="0" borderId="58" xfId="0" applyFont="1" applyBorder="1" applyAlignment="1" applyProtection="1">
      <alignment horizontal="left"/>
      <protection locked="0"/>
    </xf>
    <xf numFmtId="0" fontId="15" fillId="0" borderId="49" xfId="0" applyFont="1" applyBorder="1" applyAlignment="1" applyProtection="1">
      <alignment horizontal="left"/>
      <protection locked="0"/>
    </xf>
    <xf numFmtId="0" fontId="15" fillId="0" borderId="18" xfId="0" applyFont="1" applyBorder="1" applyAlignment="1" applyProtection="1">
      <alignment horizontal="left"/>
      <protection locked="0"/>
    </xf>
    <xf numFmtId="0" fontId="15" fillId="0" borderId="50" xfId="0" applyFont="1" applyBorder="1" applyAlignment="1" applyProtection="1">
      <alignment horizontal="left"/>
      <protection locked="0"/>
    </xf>
    <xf numFmtId="14" fontId="15" fillId="0" borderId="84" xfId="0" applyNumberFormat="1" applyFont="1" applyBorder="1" applyAlignment="1" applyProtection="1">
      <alignment horizontal="left" vertical="center"/>
      <protection locked="0"/>
    </xf>
    <xf numFmtId="0" fontId="15" fillId="0" borderId="84" xfId="0" applyFont="1" applyBorder="1" applyAlignment="1" applyProtection="1">
      <alignment horizontal="left" vertical="center"/>
      <protection locked="0"/>
    </xf>
    <xf numFmtId="0" fontId="15" fillId="0" borderId="51" xfId="0" applyFont="1" applyBorder="1" applyAlignment="1" applyProtection="1">
      <alignment horizontal="left"/>
      <protection locked="0"/>
    </xf>
    <xf numFmtId="0" fontId="15" fillId="0" borderId="33" xfId="0" applyFont="1" applyBorder="1" applyAlignment="1" applyProtection="1">
      <alignment horizontal="left"/>
      <protection locked="0"/>
    </xf>
    <xf numFmtId="0" fontId="15" fillId="0" borderId="52" xfId="0" applyFont="1" applyBorder="1" applyAlignment="1" applyProtection="1">
      <alignment horizontal="left"/>
      <protection locked="0"/>
    </xf>
    <xf numFmtId="0" fontId="15" fillId="0" borderId="53" xfId="0" applyFont="1" applyBorder="1" applyAlignment="1" applyProtection="1">
      <alignment horizontal="left"/>
      <protection locked="0"/>
    </xf>
    <xf numFmtId="0" fontId="15" fillId="0" borderId="54" xfId="0" applyFont="1" applyBorder="1" applyAlignment="1" applyProtection="1">
      <alignment horizontal="left"/>
      <protection locked="0"/>
    </xf>
    <xf numFmtId="0" fontId="15" fillId="0" borderId="55" xfId="0" applyFont="1" applyBorder="1" applyAlignment="1" applyProtection="1">
      <alignment horizontal="left"/>
      <protection locked="0"/>
    </xf>
    <xf numFmtId="0" fontId="16" fillId="0" borderId="81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82" xfId="0" applyFont="1" applyBorder="1" applyAlignment="1">
      <alignment horizontal="left"/>
    </xf>
    <xf numFmtId="0" fontId="16" fillId="3" borderId="3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1" fillId="0" borderId="3" xfId="0" applyFont="1" applyBorder="1" applyAlignment="1"/>
    <xf numFmtId="0" fontId="11" fillId="0" borderId="4" xfId="0" applyFont="1" applyBorder="1" applyAlignment="1"/>
    <xf numFmtId="0" fontId="11" fillId="0" borderId="59" xfId="0" applyFont="1" applyBorder="1" applyAlignment="1"/>
    <xf numFmtId="0" fontId="11" fillId="0" borderId="5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61" xfId="0" applyFont="1" applyBorder="1" applyAlignment="1"/>
    <xf numFmtId="0" fontId="12" fillId="0" borderId="6" xfId="0" applyFont="1" applyBorder="1" applyAlignment="1"/>
    <xf numFmtId="0" fontId="12" fillId="0" borderId="62" xfId="0" applyFont="1" applyBorder="1" applyAlignment="1"/>
    <xf numFmtId="0" fontId="12" fillId="0" borderId="9" xfId="0" applyFont="1" applyBorder="1" applyAlignment="1"/>
    <xf numFmtId="0" fontId="12" fillId="0" borderId="0" xfId="0" applyFont="1" applyAlignment="1"/>
    <xf numFmtId="0" fontId="12" fillId="0" borderId="60" xfId="0" applyFont="1" applyBorder="1" applyAlignment="1"/>
    <xf numFmtId="0" fontId="12" fillId="0" borderId="7" xfId="0" applyFont="1" applyBorder="1" applyAlignme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CC880-DE25-42AC-AFEB-609C5217FC72}" name="Table1" displayName="Table1" ref="A1:A301" totalsRowShown="0" headerRowDxfId="0">
  <autoFilter ref="A1:A301" xr:uid="{4FBCC880-DE25-42AC-AFEB-609C5217FC72}"/>
  <tableColumns count="1">
    <tableColumn id="1" xr3:uid="{FB2566A9-8666-4EDD-BBB1-C333EB914811}" name="Corden Pharma Phase Codes: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EA11B0-C4BB-492A-8CE8-77F9C2CE0DC2}" name="Table3" displayName="Table3" ref="C1:C6" totalsRowShown="0">
  <autoFilter ref="C1:C6" xr:uid="{E5EA11B0-C4BB-492A-8CE8-77F9C2CE0DC2}"/>
  <tableColumns count="1">
    <tableColumn id="1" xr3:uid="{9E1CFFAA-C94A-486B-A4A9-BB81DB890CB7}" name="Rate Modifier: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BB090-93BC-4747-A702-57B0D39E0832}" name="Table2" displayName="Table2" ref="A1:A51" totalsRowShown="0">
  <autoFilter ref="A1:A51" xr:uid="{CA5BB090-93BC-4747-A702-57B0D39E0832}"/>
  <tableColumns count="1">
    <tableColumn id="1" xr3:uid="{300823C0-17DC-47E0-B185-0A25772E8641}" name="Name: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58F0-702F-461F-8F71-1736D4046CB1}">
  <dimension ref="A1:AJ86"/>
  <sheetViews>
    <sheetView showGridLines="0" zoomScale="43" zoomScaleNormal="55" workbookViewId="0">
      <selection activeCell="N31" sqref="N31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0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140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20</v>
      </c>
      <c r="B10" s="163"/>
      <c r="C10" s="163"/>
      <c r="D10" s="164"/>
      <c r="E10" s="10"/>
      <c r="F10" s="10">
        <v>2</v>
      </c>
      <c r="G10" s="11"/>
      <c r="H10" s="12"/>
      <c r="I10" s="13">
        <v>0.5</v>
      </c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0.5</v>
      </c>
      <c r="AH10" s="40">
        <f t="shared" si="5"/>
        <v>2</v>
      </c>
      <c r="AI10" s="41">
        <f t="shared" si="5"/>
        <v>0</v>
      </c>
      <c r="AJ10" s="1"/>
    </row>
    <row r="11" spans="1:36" ht="22.9" customHeight="1">
      <c r="A11" s="162" t="s">
        <v>21</v>
      </c>
      <c r="B11" s="163"/>
      <c r="C11" s="163"/>
      <c r="D11" s="164"/>
      <c r="E11" s="10"/>
      <c r="F11" s="10"/>
      <c r="G11" s="11"/>
      <c r="H11" s="12"/>
      <c r="I11" s="13">
        <v>1</v>
      </c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1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 t="s">
        <v>22</v>
      </c>
      <c r="B12" s="163"/>
      <c r="C12" s="163"/>
      <c r="D12" s="164"/>
      <c r="E12" s="10">
        <v>8</v>
      </c>
      <c r="F12" s="10"/>
      <c r="G12" s="11"/>
      <c r="H12" s="12"/>
      <c r="I12" s="13">
        <v>6.5</v>
      </c>
      <c r="J12" s="10">
        <v>2</v>
      </c>
      <c r="K12" s="11"/>
      <c r="L12" s="14"/>
      <c r="M12" s="13">
        <v>8</v>
      </c>
      <c r="N12" s="10">
        <v>1</v>
      </c>
      <c r="O12" s="11"/>
      <c r="P12" s="14"/>
      <c r="Q12" s="13">
        <v>8</v>
      </c>
      <c r="R12" s="10">
        <v>1</v>
      </c>
      <c r="S12" s="11"/>
      <c r="T12" s="14"/>
      <c r="U12" s="124">
        <v>8</v>
      </c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38.5</v>
      </c>
      <c r="AH12" s="40">
        <f t="shared" si="5"/>
        <v>4</v>
      </c>
      <c r="AI12" s="41">
        <f t="shared" si="5"/>
        <v>0</v>
      </c>
      <c r="AJ12" s="1"/>
    </row>
    <row r="13" spans="1:36" ht="22.9" customHeight="1">
      <c r="A13" s="162" t="s">
        <v>23</v>
      </c>
      <c r="B13" s="163"/>
      <c r="C13" s="163"/>
      <c r="D13" s="164"/>
      <c r="E13" s="10"/>
      <c r="F13" s="10">
        <v>2</v>
      </c>
      <c r="G13" s="11"/>
      <c r="H13" s="12"/>
      <c r="I13" s="13"/>
      <c r="J13" s="10">
        <v>2</v>
      </c>
      <c r="K13" s="11"/>
      <c r="L13" s="14"/>
      <c r="M13" s="13"/>
      <c r="N13" s="10">
        <v>2</v>
      </c>
      <c r="O13" s="11"/>
      <c r="P13" s="14"/>
      <c r="Q13" s="13"/>
      <c r="R13" s="10">
        <v>1.5</v>
      </c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7.5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 t="s">
        <v>24</v>
      </c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>
        <v>10</v>
      </c>
      <c r="AA16" s="101"/>
      <c r="AB16" s="110"/>
      <c r="AC16" s="100"/>
      <c r="AD16" s="100"/>
      <c r="AE16" s="101">
        <v>10</v>
      </c>
      <c r="AF16" s="111" t="s">
        <v>2</v>
      </c>
      <c r="AG16" s="39">
        <f t="shared" si="5"/>
        <v>0</v>
      </c>
      <c r="AH16" s="40">
        <f t="shared" si="5"/>
        <v>10</v>
      </c>
      <c r="AI16" s="41">
        <f t="shared" si="5"/>
        <v>10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4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4</v>
      </c>
      <c r="K27" s="66">
        <f t="shared" si="7"/>
        <v>0</v>
      </c>
      <c r="L27" s="68">
        <f t="shared" si="7"/>
        <v>0</v>
      </c>
      <c r="M27" s="66">
        <f t="shared" si="7"/>
        <v>8</v>
      </c>
      <c r="N27" s="66">
        <f t="shared" si="7"/>
        <v>3</v>
      </c>
      <c r="O27" s="66">
        <f t="shared" si="7"/>
        <v>0</v>
      </c>
      <c r="P27" s="68">
        <f t="shared" si="7"/>
        <v>0</v>
      </c>
      <c r="Q27" s="66">
        <f t="shared" si="7"/>
        <v>8</v>
      </c>
      <c r="R27" s="66">
        <f t="shared" si="7"/>
        <v>2.5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10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10</v>
      </c>
      <c r="AF27" s="67">
        <f t="shared" si="7"/>
        <v>0</v>
      </c>
      <c r="AG27" s="45">
        <f t="shared" si="7"/>
        <v>40</v>
      </c>
      <c r="AH27" s="46">
        <f t="shared" si="7"/>
        <v>23.5</v>
      </c>
      <c r="AI27" s="47">
        <f t="shared" si="7"/>
        <v>10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1</v>
      </c>
      <c r="I31" s="93" t="b">
        <v>1</v>
      </c>
      <c r="J31" s="93" t="b">
        <v>1</v>
      </c>
      <c r="K31" s="94" t="b">
        <v>1</v>
      </c>
      <c r="L31" s="93" t="b">
        <v>1</v>
      </c>
      <c r="M31" s="95" t="b">
        <v>1</v>
      </c>
      <c r="N31" s="96" t="b">
        <v>1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FB2E1E-757C-4735-9483-D7A8EFA915F4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1E43F043-BAE2-4468-8F4A-3A72DEFE7E47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CF533C05-BF90-46D5-B6E1-2E4E14503D48}">
          <x14:formula1>
            <xm:f>EMPLOYEES!$A$2:$A$51</xm:f>
          </x14:formula1>
          <xm:sqref>A1:C1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BC37-70C2-4207-8750-D45444254CCD}">
  <dimension ref="A1:AJ86"/>
  <sheetViews>
    <sheetView showGridLines="0" zoomScale="55" zoomScaleNormal="55" workbookViewId="0">
      <selection activeCell="F15" sqref="F15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56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 t="s">
        <v>57</v>
      </c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>
        <v>0</v>
      </c>
      <c r="F10" s="10"/>
      <c r="G10" s="11"/>
      <c r="H10" s="12"/>
      <c r="I10" s="13">
        <v>0</v>
      </c>
      <c r="J10" s="10"/>
      <c r="K10" s="11"/>
      <c r="L10" s="14"/>
      <c r="M10" s="13">
        <v>0</v>
      </c>
      <c r="N10" s="10"/>
      <c r="O10" s="11"/>
      <c r="P10" s="14"/>
      <c r="Q10" s="13">
        <v>0</v>
      </c>
      <c r="R10" s="10"/>
      <c r="S10" s="11"/>
      <c r="T10" s="14"/>
      <c r="U10" s="124">
        <v>0</v>
      </c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/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/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A91C247-D616-47DF-87B1-AF1023139AE7}">
          <x14:formula1>
            <xm:f>EMPLOYEES!$A$2:$A$51</xm:f>
          </x14:formula1>
          <xm:sqref>A1:C1</xm:sqref>
        </x14:dataValidation>
        <x14:dataValidation type="list" allowBlank="1" showInputMessage="1" showErrorMessage="1" xr:uid="{185A70CB-B3FC-4BA9-837D-E68F987C18CB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3A6DB1E7-509F-4456-AFA8-BF8B60581269}">
          <x14:formula1>
            <xm:f>'PHASE CODES'!$C$2:$C$6</xm:f>
          </x14:formula1>
          <xm:sqref>H9:H26 L9:L26 P9:P26 T9:T26 X9:X26 AB9:AB26 AF9:AF26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BEE1-7A3A-4938-A7E6-B202B2865706}">
  <dimension ref="A1:AJ86"/>
  <sheetViews>
    <sheetView showGridLines="0" zoomScale="55" zoomScaleNormal="55" workbookViewId="0">
      <selection activeCell="E15" sqref="E15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58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 t="s">
        <v>59</v>
      </c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>
        <v>0</v>
      </c>
      <c r="F10" s="10"/>
      <c r="G10" s="11"/>
      <c r="H10" s="12"/>
      <c r="I10" s="13">
        <v>0</v>
      </c>
      <c r="J10" s="10"/>
      <c r="K10" s="11"/>
      <c r="L10" s="14"/>
      <c r="M10" s="13">
        <v>0</v>
      </c>
      <c r="N10" s="10"/>
      <c r="O10" s="11"/>
      <c r="P10" s="14"/>
      <c r="Q10" s="13">
        <v>0</v>
      </c>
      <c r="R10" s="10"/>
      <c r="S10" s="11"/>
      <c r="T10" s="14"/>
      <c r="U10" s="124">
        <v>0</v>
      </c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/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/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A473BF0-98B1-4916-8F56-C0947CDBE3A6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2B7A5053-C41F-49F0-A2F1-6A39B271B141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1054AB08-499A-42FC-9800-3C8286048B19}">
          <x14:formula1>
            <xm:f>EMPLOYEES!$A$2:$A$51</xm:f>
          </x14:formula1>
          <xm:sqref>A1:C1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5B13-E01F-40A1-8FA7-5B4C1AD6B972}">
  <dimension ref="A1:AJ86"/>
  <sheetViews>
    <sheetView showGridLines="0" zoomScale="46" zoomScaleNormal="55" workbookViewId="0">
      <selection activeCell="W14" sqref="W14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60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20</v>
      </c>
      <c r="B10" s="163"/>
      <c r="C10" s="163"/>
      <c r="D10" s="164"/>
      <c r="E10" s="10">
        <v>8</v>
      </c>
      <c r="F10" s="10"/>
      <c r="G10" s="11"/>
      <c r="H10" s="12"/>
      <c r="I10" s="13">
        <v>1</v>
      </c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9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 t="s">
        <v>23</v>
      </c>
      <c r="B11" s="163"/>
      <c r="C11" s="163"/>
      <c r="D11" s="164"/>
      <c r="E11" s="10"/>
      <c r="F11" s="10">
        <v>2</v>
      </c>
      <c r="G11" s="11"/>
      <c r="H11" s="12"/>
      <c r="I11" s="13"/>
      <c r="J11" s="10">
        <v>2</v>
      </c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4</v>
      </c>
      <c r="AI11" s="41">
        <f t="shared" si="5"/>
        <v>0</v>
      </c>
      <c r="AJ11" s="1"/>
    </row>
    <row r="12" spans="1:36" ht="22.9" customHeight="1">
      <c r="A12" s="162" t="s">
        <v>22</v>
      </c>
      <c r="B12" s="163"/>
      <c r="C12" s="163"/>
      <c r="D12" s="164"/>
      <c r="E12" s="10"/>
      <c r="F12" s="10"/>
      <c r="G12" s="11"/>
      <c r="H12" s="12"/>
      <c r="I12" s="13">
        <v>3</v>
      </c>
      <c r="J12" s="10"/>
      <c r="K12" s="11"/>
      <c r="L12" s="14"/>
      <c r="M12" s="13">
        <v>8</v>
      </c>
      <c r="N12" s="10">
        <v>2.5</v>
      </c>
      <c r="O12" s="11"/>
      <c r="P12" s="14"/>
      <c r="Q12" s="13">
        <v>8</v>
      </c>
      <c r="R12" s="10">
        <v>2</v>
      </c>
      <c r="S12" s="11"/>
      <c r="T12" s="14"/>
      <c r="U12" s="124">
        <v>8</v>
      </c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27</v>
      </c>
      <c r="AH12" s="40">
        <f t="shared" si="5"/>
        <v>4.5</v>
      </c>
      <c r="AI12" s="41">
        <f t="shared" si="5"/>
        <v>0</v>
      </c>
      <c r="AJ12" s="1"/>
    </row>
    <row r="13" spans="1:36" ht="22.9" customHeight="1">
      <c r="A13" s="162" t="s">
        <v>21</v>
      </c>
      <c r="B13" s="163"/>
      <c r="C13" s="163"/>
      <c r="D13" s="164"/>
      <c r="E13" s="10"/>
      <c r="F13" s="10"/>
      <c r="G13" s="11"/>
      <c r="H13" s="12"/>
      <c r="I13" s="13">
        <v>4</v>
      </c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4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2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2</v>
      </c>
      <c r="K27" s="66">
        <f t="shared" si="7"/>
        <v>0</v>
      </c>
      <c r="L27" s="68">
        <f t="shared" si="7"/>
        <v>0</v>
      </c>
      <c r="M27" s="66">
        <f t="shared" si="7"/>
        <v>8</v>
      </c>
      <c r="N27" s="66">
        <f t="shared" si="7"/>
        <v>2.5</v>
      </c>
      <c r="O27" s="66">
        <f t="shared" si="7"/>
        <v>0</v>
      </c>
      <c r="P27" s="68">
        <f t="shared" si="7"/>
        <v>0</v>
      </c>
      <c r="Q27" s="66">
        <f t="shared" si="7"/>
        <v>8</v>
      </c>
      <c r="R27" s="66">
        <f t="shared" si="7"/>
        <v>2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40</v>
      </c>
      <c r="AH27" s="46">
        <f t="shared" si="7"/>
        <v>8.5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8BC3F9-BC0A-44D2-A9A6-BC578B97F434}">
          <x14:formula1>
            <xm:f>EMPLOYEES!$A$2:$A$51</xm:f>
          </x14:formula1>
          <xm:sqref>A1:C1</xm:sqref>
        </x14:dataValidation>
        <x14:dataValidation type="list" allowBlank="1" showInputMessage="1" showErrorMessage="1" xr:uid="{13F7EBC5-3040-4852-B603-1E29426CDAD1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656848C6-83D4-439C-9423-C2FDE718CD7D}">
          <x14:formula1>
            <xm:f>'PHASE CODES'!$A$3:$A$301</xm:f>
          </x14:formula1>
          <xm:sqref>A9:D26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8F7E-9C99-4F13-A117-B250059163AA}">
  <dimension ref="A1:AJ86"/>
  <sheetViews>
    <sheetView showGridLines="0" zoomScale="45" zoomScaleNormal="55" workbookViewId="0">
      <selection activeCell="W14" sqref="W14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61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23</v>
      </c>
      <c r="B10" s="163"/>
      <c r="C10" s="163"/>
      <c r="D10" s="164"/>
      <c r="E10" s="10"/>
      <c r="F10" s="10">
        <v>3</v>
      </c>
      <c r="G10" s="11"/>
      <c r="H10" s="12"/>
      <c r="I10" s="13"/>
      <c r="J10" s="10"/>
      <c r="K10" s="11"/>
      <c r="L10" s="14"/>
      <c r="M10" s="13"/>
      <c r="N10" s="10">
        <v>2.5</v>
      </c>
      <c r="O10" s="11"/>
      <c r="P10" s="14"/>
      <c r="Q10" s="13"/>
      <c r="R10" s="10"/>
      <c r="S10" s="11"/>
      <c r="T10" s="14"/>
      <c r="U10" s="124">
        <v>2</v>
      </c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2</v>
      </c>
      <c r="AH10" s="40">
        <f t="shared" si="5"/>
        <v>5.5</v>
      </c>
      <c r="AI10" s="41">
        <f t="shared" si="5"/>
        <v>0</v>
      </c>
      <c r="AJ10" s="1"/>
    </row>
    <row r="11" spans="1:36" ht="22.9" customHeight="1">
      <c r="A11" s="162" t="s">
        <v>20</v>
      </c>
      <c r="B11" s="163"/>
      <c r="C11" s="163"/>
      <c r="D11" s="164"/>
      <c r="E11" s="10">
        <v>8</v>
      </c>
      <c r="F11" s="10"/>
      <c r="G11" s="11"/>
      <c r="H11" s="12"/>
      <c r="I11" s="13"/>
      <c r="J11" s="10">
        <v>2</v>
      </c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8</v>
      </c>
      <c r="AH11" s="40">
        <f t="shared" si="5"/>
        <v>2</v>
      </c>
      <c r="AI11" s="41">
        <f t="shared" si="5"/>
        <v>0</v>
      </c>
      <c r="AJ11" s="1"/>
    </row>
    <row r="12" spans="1:36" ht="22.9" customHeight="1">
      <c r="A12" s="162" t="s">
        <v>22</v>
      </c>
      <c r="B12" s="163"/>
      <c r="C12" s="163"/>
      <c r="D12" s="164"/>
      <c r="E12" s="10"/>
      <c r="F12" s="10"/>
      <c r="G12" s="11"/>
      <c r="H12" s="12"/>
      <c r="I12" s="13">
        <v>8</v>
      </c>
      <c r="J12" s="10"/>
      <c r="K12" s="11"/>
      <c r="L12" s="14"/>
      <c r="M12" s="13">
        <v>8</v>
      </c>
      <c r="N12" s="10"/>
      <c r="O12" s="11"/>
      <c r="P12" s="14"/>
      <c r="Q12" s="13">
        <v>8</v>
      </c>
      <c r="R12" s="10">
        <v>2</v>
      </c>
      <c r="S12" s="11"/>
      <c r="T12" s="14"/>
      <c r="U12" s="124">
        <v>6</v>
      </c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30</v>
      </c>
      <c r="AH12" s="40">
        <f t="shared" si="5"/>
        <v>2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3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2</v>
      </c>
      <c r="K27" s="66">
        <f t="shared" si="7"/>
        <v>0</v>
      </c>
      <c r="L27" s="68">
        <f t="shared" si="7"/>
        <v>0</v>
      </c>
      <c r="M27" s="66">
        <f t="shared" si="7"/>
        <v>8</v>
      </c>
      <c r="N27" s="66">
        <f t="shared" si="7"/>
        <v>2.5</v>
      </c>
      <c r="O27" s="66">
        <f t="shared" si="7"/>
        <v>0</v>
      </c>
      <c r="P27" s="68">
        <f t="shared" si="7"/>
        <v>0</v>
      </c>
      <c r="Q27" s="66">
        <f t="shared" si="7"/>
        <v>8</v>
      </c>
      <c r="R27" s="66">
        <f t="shared" si="7"/>
        <v>2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40</v>
      </c>
      <c r="AH27" s="46">
        <f t="shared" si="7"/>
        <v>9.5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D5C5531-5CC4-4D14-915B-ED3CC65ECFB4}">
          <x14:formula1>
            <xm:f>EMPLOYEES!$A$2:$A$51</xm:f>
          </x14:formula1>
          <xm:sqref>A1:C1</xm:sqref>
        </x14:dataValidation>
        <x14:dataValidation type="list" allowBlank="1" showInputMessage="1" showErrorMessage="1" xr:uid="{F7A3F6CC-BB6C-42E1-A545-3CEADDD2590D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E40C4708-65BE-414A-B967-B5BDF4DD1E08}">
          <x14:formula1>
            <xm:f>'PHASE CODES'!$A$3:$A$301</xm:f>
          </x14:formula1>
          <xm:sqref>A9:D26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283D-33F0-4946-B279-D228504BB637}">
  <dimension ref="A1:AJ86"/>
  <sheetViews>
    <sheetView showGridLines="0" zoomScale="49" zoomScaleNormal="55" workbookViewId="0">
      <selection activeCell="Q16" sqref="Q16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62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23</v>
      </c>
      <c r="B10" s="163"/>
      <c r="C10" s="163"/>
      <c r="D10" s="164"/>
      <c r="E10" s="10"/>
      <c r="F10" s="10">
        <v>1</v>
      </c>
      <c r="G10" s="11"/>
      <c r="H10" s="12"/>
      <c r="I10" s="13"/>
      <c r="J10" s="10">
        <v>1.5</v>
      </c>
      <c r="K10" s="11"/>
      <c r="L10" s="14"/>
      <c r="M10" s="13">
        <v>1</v>
      </c>
      <c r="N10" s="10">
        <v>1.5</v>
      </c>
      <c r="O10" s="11"/>
      <c r="P10" s="14"/>
      <c r="Q10" s="13">
        <v>2</v>
      </c>
      <c r="R10" s="10"/>
      <c r="S10" s="11"/>
      <c r="T10" s="14"/>
      <c r="U10" s="124">
        <v>8</v>
      </c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11</v>
      </c>
      <c r="AH10" s="40">
        <f t="shared" si="5"/>
        <v>4</v>
      </c>
      <c r="AI10" s="41">
        <f t="shared" si="5"/>
        <v>0</v>
      </c>
      <c r="AJ10" s="1"/>
    </row>
    <row r="11" spans="1:36" ht="22.9" customHeight="1">
      <c r="A11" s="162" t="s">
        <v>63</v>
      </c>
      <c r="B11" s="163"/>
      <c r="C11" s="163"/>
      <c r="D11" s="164"/>
      <c r="E11" s="10">
        <v>2</v>
      </c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>
        <v>5</v>
      </c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7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 t="s">
        <v>20</v>
      </c>
      <c r="B12" s="163"/>
      <c r="C12" s="163"/>
      <c r="D12" s="164"/>
      <c r="E12" s="10"/>
      <c r="F12" s="10">
        <v>1</v>
      </c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1</v>
      </c>
      <c r="AI12" s="41">
        <f t="shared" si="5"/>
        <v>0</v>
      </c>
      <c r="AJ12" s="1"/>
    </row>
    <row r="13" spans="1:36" ht="22.9" customHeight="1">
      <c r="A13" s="162" t="s">
        <v>22</v>
      </c>
      <c r="B13" s="163"/>
      <c r="C13" s="163"/>
      <c r="D13" s="164"/>
      <c r="E13" s="10">
        <v>6</v>
      </c>
      <c r="F13" s="10"/>
      <c r="G13" s="11"/>
      <c r="H13" s="12"/>
      <c r="I13" s="13">
        <v>8</v>
      </c>
      <c r="J13" s="10">
        <v>2</v>
      </c>
      <c r="K13" s="11"/>
      <c r="L13" s="14"/>
      <c r="M13" s="13">
        <v>8</v>
      </c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22</v>
      </c>
      <c r="AH13" s="40">
        <f t="shared" si="5"/>
        <v>2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2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3.5</v>
      </c>
      <c r="K27" s="66">
        <f t="shared" si="7"/>
        <v>0</v>
      </c>
      <c r="L27" s="68">
        <f t="shared" si="7"/>
        <v>0</v>
      </c>
      <c r="M27" s="66">
        <f t="shared" si="7"/>
        <v>9</v>
      </c>
      <c r="N27" s="66">
        <f t="shared" si="7"/>
        <v>1.5</v>
      </c>
      <c r="O27" s="66">
        <f t="shared" si="7"/>
        <v>0</v>
      </c>
      <c r="P27" s="68">
        <f t="shared" si="7"/>
        <v>0</v>
      </c>
      <c r="Q27" s="66">
        <f t="shared" si="7"/>
        <v>7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40</v>
      </c>
      <c r="AH27" s="46">
        <f t="shared" si="7"/>
        <v>7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12E16C-971D-41DA-B488-830B5B578515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C95B15DB-076D-4DBC-BF2C-7F5187513406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D4B06FA8-A30A-46E9-ABAF-D06B64444D75}">
          <x14:formula1>
            <xm:f>EMPLOYEES!$A$2:$A$51</xm:f>
          </x14:formula1>
          <xm:sqref>A1:C1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3206-5FD6-4BD0-8AB7-A600212EB55F}">
  <dimension ref="A1:AJ86"/>
  <sheetViews>
    <sheetView showGridLines="0" zoomScale="45" zoomScaleNormal="55" workbookViewId="0">
      <selection activeCell="M22" sqref="M22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64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/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 t="s">
        <v>63</v>
      </c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 t="s">
        <v>20</v>
      </c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 t="s">
        <v>22</v>
      </c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706F49-A3FF-4245-8E6A-66B83695A71D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B86437BB-27AE-4148-9BAC-CF8D3C88C46F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4BC52EAB-555C-4C75-8B8D-DA47756356A4}">
          <x14:formula1>
            <xm:f>EMPLOYEES!$A$2:$A$51</xm:f>
          </x14:formula1>
          <xm:sqref>A1:C1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6D40-A5F3-4273-BA95-EFDBBE3B1A8E}">
  <dimension ref="A1:AJ86"/>
  <sheetViews>
    <sheetView showGridLines="0" zoomScale="55" zoomScaleNormal="55" workbookViewId="0">
      <selection activeCell="J23" sqref="J23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65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 t="s">
        <v>59</v>
      </c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>
        <v>0</v>
      </c>
      <c r="F10" s="10"/>
      <c r="G10" s="11"/>
      <c r="H10" s="12"/>
      <c r="I10" s="13">
        <v>0</v>
      </c>
      <c r="J10" s="10"/>
      <c r="K10" s="11"/>
      <c r="L10" s="14"/>
      <c r="M10" s="13">
        <v>0</v>
      </c>
      <c r="N10" s="10"/>
      <c r="O10" s="11"/>
      <c r="P10" s="14"/>
      <c r="Q10" s="13">
        <v>0</v>
      </c>
      <c r="R10" s="10"/>
      <c r="S10" s="11"/>
      <c r="T10" s="14"/>
      <c r="U10" s="124">
        <v>0</v>
      </c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/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/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9AAA3D-3CB7-4227-848E-DD6234A9CA93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778E11B5-633B-4DB2-8875-8241A5B67F3D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22675AE8-91BF-448A-BAD0-18F0CA292600}">
          <x14:formula1>
            <xm:f>EMPLOYEES!$A$2:$A$51</xm:f>
          </x14:formula1>
          <xm:sqref>A1:C1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0C04-F9E5-45E2-9570-0E025DB612D2}">
  <dimension ref="A1:AJ86"/>
  <sheetViews>
    <sheetView showGridLines="0" zoomScale="45" zoomScaleNormal="55" workbookViewId="0">
      <selection activeCell="W15" sqref="W15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66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20</v>
      </c>
      <c r="B10" s="163"/>
      <c r="C10" s="163"/>
      <c r="D10" s="164"/>
      <c r="E10" s="10">
        <v>2</v>
      </c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2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 t="s">
        <v>23</v>
      </c>
      <c r="B11" s="163"/>
      <c r="C11" s="163"/>
      <c r="D11" s="164"/>
      <c r="E11" s="10"/>
      <c r="F11" s="10">
        <v>1</v>
      </c>
      <c r="G11" s="11"/>
      <c r="H11" s="12"/>
      <c r="I11" s="13"/>
      <c r="J11" s="10">
        <v>1</v>
      </c>
      <c r="K11" s="11"/>
      <c r="L11" s="14"/>
      <c r="M11" s="13"/>
      <c r="N11" s="10"/>
      <c r="O11" s="11"/>
      <c r="P11" s="14"/>
      <c r="Q11" s="13"/>
      <c r="R11" s="10">
        <v>3</v>
      </c>
      <c r="S11" s="11"/>
      <c r="T11" s="14"/>
      <c r="U11" s="124">
        <v>2</v>
      </c>
      <c r="V11" s="125">
        <v>0.5</v>
      </c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2</v>
      </c>
      <c r="AH11" s="40">
        <f t="shared" si="5"/>
        <v>5.5</v>
      </c>
      <c r="AI11" s="41">
        <f t="shared" si="5"/>
        <v>0</v>
      </c>
      <c r="AJ11" s="1"/>
    </row>
    <row r="12" spans="1:36" ht="22.9" customHeight="1">
      <c r="A12" s="162" t="s">
        <v>22</v>
      </c>
      <c r="B12" s="163"/>
      <c r="C12" s="163"/>
      <c r="D12" s="164"/>
      <c r="E12" s="10">
        <v>6</v>
      </c>
      <c r="F12" s="10">
        <v>2</v>
      </c>
      <c r="G12" s="11"/>
      <c r="H12" s="12"/>
      <c r="I12" s="13">
        <v>8</v>
      </c>
      <c r="J12" s="10">
        <v>1.5</v>
      </c>
      <c r="K12" s="11"/>
      <c r="L12" s="14"/>
      <c r="M12" s="13">
        <v>8</v>
      </c>
      <c r="N12" s="10">
        <v>3</v>
      </c>
      <c r="O12" s="11"/>
      <c r="P12" s="14"/>
      <c r="Q12" s="13">
        <v>8</v>
      </c>
      <c r="R12" s="10"/>
      <c r="S12" s="11"/>
      <c r="T12" s="14"/>
      <c r="U12" s="124">
        <v>6</v>
      </c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36</v>
      </c>
      <c r="AH12" s="40">
        <f t="shared" si="5"/>
        <v>6.5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3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2.5</v>
      </c>
      <c r="K27" s="66">
        <f t="shared" si="7"/>
        <v>0</v>
      </c>
      <c r="L27" s="68">
        <f t="shared" si="7"/>
        <v>0</v>
      </c>
      <c r="M27" s="66">
        <f t="shared" si="7"/>
        <v>8</v>
      </c>
      <c r="N27" s="66">
        <f t="shared" si="7"/>
        <v>3</v>
      </c>
      <c r="O27" s="66">
        <f t="shared" si="7"/>
        <v>0</v>
      </c>
      <c r="P27" s="68">
        <f t="shared" si="7"/>
        <v>0</v>
      </c>
      <c r="Q27" s="66">
        <f t="shared" si="7"/>
        <v>8</v>
      </c>
      <c r="R27" s="66">
        <f t="shared" si="7"/>
        <v>3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0.5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40</v>
      </c>
      <c r="AH27" s="46">
        <f t="shared" si="7"/>
        <v>12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6053FC-825D-4702-B146-2E7AA39AE075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7163D386-9D99-4B38-BB3C-6363DA4BED2E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903D82AB-FB99-403C-BA98-FFB92DAD3E26}">
          <x14:formula1>
            <xm:f>EMPLOYEES!$A$2:$A$51</xm:f>
          </x14:formula1>
          <xm:sqref>A1:C1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D0B2-35EA-402D-B337-DADCD05CFEFD}">
  <dimension ref="A1:AJ86"/>
  <sheetViews>
    <sheetView showGridLines="0" topLeftCell="B28" zoomScale="55" zoomScaleNormal="55" workbookViewId="0">
      <selection activeCell="H31" sqref="H31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67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20</v>
      </c>
      <c r="B10" s="163"/>
      <c r="C10" s="163"/>
      <c r="D10" s="164"/>
      <c r="E10" s="10">
        <v>8</v>
      </c>
      <c r="F10" s="10">
        <v>1</v>
      </c>
      <c r="G10" s="11"/>
      <c r="H10" s="12"/>
      <c r="I10" s="13"/>
      <c r="J10" s="10">
        <v>1</v>
      </c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8</v>
      </c>
      <c r="AH10" s="40">
        <f t="shared" si="5"/>
        <v>2</v>
      </c>
      <c r="AI10" s="41">
        <f t="shared" si="5"/>
        <v>0</v>
      </c>
      <c r="AJ10" s="1"/>
    </row>
    <row r="11" spans="1:36" ht="22.9" customHeight="1">
      <c r="A11" s="162" t="s">
        <v>23</v>
      </c>
      <c r="B11" s="163"/>
      <c r="C11" s="163"/>
      <c r="D11" s="164"/>
      <c r="E11" s="10"/>
      <c r="F11" s="10">
        <v>2.5</v>
      </c>
      <c r="G11" s="11"/>
      <c r="H11" s="12"/>
      <c r="I11" s="13"/>
      <c r="J11" s="10">
        <v>2.5</v>
      </c>
      <c r="K11" s="11"/>
      <c r="L11" s="14"/>
      <c r="M11" s="13"/>
      <c r="N11" s="10">
        <v>2.5</v>
      </c>
      <c r="O11" s="11"/>
      <c r="P11" s="14"/>
      <c r="Q11" s="13"/>
      <c r="R11" s="10">
        <v>2</v>
      </c>
      <c r="S11" s="11"/>
      <c r="T11" s="14"/>
      <c r="U11" s="124">
        <v>2</v>
      </c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2</v>
      </c>
      <c r="AH11" s="40">
        <f t="shared" si="5"/>
        <v>9.5</v>
      </c>
      <c r="AI11" s="41">
        <f t="shared" si="5"/>
        <v>0</v>
      </c>
      <c r="AJ11" s="1"/>
    </row>
    <row r="12" spans="1:36" ht="22.9" customHeight="1">
      <c r="A12" s="162" t="s">
        <v>22</v>
      </c>
      <c r="B12" s="163"/>
      <c r="C12" s="163"/>
      <c r="D12" s="164"/>
      <c r="E12" s="10"/>
      <c r="F12" s="10"/>
      <c r="G12" s="11"/>
      <c r="H12" s="12"/>
      <c r="I12" s="13">
        <v>8</v>
      </c>
      <c r="J12" s="10"/>
      <c r="K12" s="11"/>
      <c r="L12" s="14"/>
      <c r="M12" s="13">
        <v>8</v>
      </c>
      <c r="N12" s="10"/>
      <c r="O12" s="11"/>
      <c r="P12" s="14"/>
      <c r="Q12" s="13">
        <v>8</v>
      </c>
      <c r="R12" s="10"/>
      <c r="S12" s="11"/>
      <c r="T12" s="14"/>
      <c r="U12" s="124">
        <v>6</v>
      </c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30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3.5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3.5</v>
      </c>
      <c r="K27" s="66">
        <f t="shared" si="7"/>
        <v>0</v>
      </c>
      <c r="L27" s="68">
        <f t="shared" si="7"/>
        <v>0</v>
      </c>
      <c r="M27" s="66">
        <f t="shared" si="7"/>
        <v>8</v>
      </c>
      <c r="N27" s="66">
        <f t="shared" si="7"/>
        <v>2.5</v>
      </c>
      <c r="O27" s="66">
        <f t="shared" si="7"/>
        <v>0</v>
      </c>
      <c r="P27" s="68">
        <f t="shared" si="7"/>
        <v>0</v>
      </c>
      <c r="Q27" s="66">
        <f t="shared" si="7"/>
        <v>8</v>
      </c>
      <c r="R27" s="66">
        <f t="shared" si="7"/>
        <v>2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40</v>
      </c>
      <c r="AH27" s="46">
        <f t="shared" si="7"/>
        <v>11.5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76804A-ED55-4810-8597-3E48535C18BB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C55EC088-6520-41F0-A0E5-9364FF1774AE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083C9F91-5E50-4B4C-B9C5-D0B3697EC2C6}">
          <x14:formula1>
            <xm:f>EMPLOYEES!$A$2:$A$51</xm:f>
          </x14:formula1>
          <xm:sqref>A1:C1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EB8D-F251-46AD-BC07-AFE7B0F5F16C}">
  <dimension ref="A1:AJ86"/>
  <sheetViews>
    <sheetView showGridLines="0" zoomScale="46" zoomScaleNormal="55" workbookViewId="0">
      <selection activeCell="E11" sqref="E11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68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/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 t="s">
        <v>63</v>
      </c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 t="s">
        <v>20</v>
      </c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 t="s">
        <v>22</v>
      </c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161F105-9729-4720-AD2E-7DF494F159EE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5B0830F1-F8C5-4297-BE88-FA2F46FB53F4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1FCD8101-5651-4842-AE1B-9F17D251DE18}">
          <x14:formula1>
            <xm:f>EMPLOYEES!$A$2:$A$51</xm:f>
          </x14:formula1>
          <xm:sqref>A1:C1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D100-34F9-423E-8A14-1C034180CF70}">
  <dimension ref="A1:AJ86"/>
  <sheetViews>
    <sheetView showGridLines="0" zoomScale="45" zoomScaleNormal="55" workbookViewId="0">
      <selection activeCell="U13" sqref="U13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69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63</v>
      </c>
      <c r="B10" s="163"/>
      <c r="C10" s="163"/>
      <c r="D10" s="164"/>
      <c r="E10" s="10"/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>
        <v>8</v>
      </c>
      <c r="R10" s="10">
        <v>2</v>
      </c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8</v>
      </c>
      <c r="AH10" s="40">
        <f t="shared" si="5"/>
        <v>2</v>
      </c>
      <c r="AI10" s="41">
        <f t="shared" si="5"/>
        <v>0</v>
      </c>
      <c r="AJ10" s="1"/>
    </row>
    <row r="11" spans="1:36" ht="22.9" customHeight="1">
      <c r="A11" s="162" t="s">
        <v>20</v>
      </c>
      <c r="B11" s="163"/>
      <c r="C11" s="163"/>
      <c r="D11" s="164"/>
      <c r="E11" s="10">
        <v>8</v>
      </c>
      <c r="F11" s="10">
        <v>2</v>
      </c>
      <c r="G11" s="11"/>
      <c r="H11" s="12"/>
      <c r="I11" s="13">
        <v>2</v>
      </c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10</v>
      </c>
      <c r="AH11" s="40">
        <f t="shared" si="5"/>
        <v>2</v>
      </c>
      <c r="AI11" s="41">
        <f t="shared" si="5"/>
        <v>0</v>
      </c>
      <c r="AJ11" s="1"/>
    </row>
    <row r="12" spans="1:36" ht="22.9" customHeight="1">
      <c r="A12" s="162" t="s">
        <v>22</v>
      </c>
      <c r="B12" s="163"/>
      <c r="C12" s="163"/>
      <c r="D12" s="164"/>
      <c r="E12" s="10"/>
      <c r="F12" s="10"/>
      <c r="G12" s="11"/>
      <c r="H12" s="12"/>
      <c r="I12" s="13">
        <v>6</v>
      </c>
      <c r="J12" s="10">
        <v>2</v>
      </c>
      <c r="K12" s="11"/>
      <c r="L12" s="14"/>
      <c r="M12" s="13">
        <v>8</v>
      </c>
      <c r="N12" s="10">
        <v>1</v>
      </c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14</v>
      </c>
      <c r="AH12" s="40">
        <f t="shared" si="5"/>
        <v>3</v>
      </c>
      <c r="AI12" s="41">
        <f t="shared" si="5"/>
        <v>0</v>
      </c>
      <c r="AJ12" s="1"/>
    </row>
    <row r="13" spans="1:36" ht="22.9" customHeight="1">
      <c r="A13" s="162" t="s">
        <v>23</v>
      </c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>
        <v>1.5</v>
      </c>
      <c r="O13" s="11"/>
      <c r="P13" s="14"/>
      <c r="Q13" s="13"/>
      <c r="R13" s="10"/>
      <c r="S13" s="11"/>
      <c r="T13" s="14"/>
      <c r="U13" s="124">
        <v>8</v>
      </c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8</v>
      </c>
      <c r="AH13" s="40">
        <f t="shared" si="5"/>
        <v>1.5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8</v>
      </c>
      <c r="F27" s="66">
        <f t="shared" si="7"/>
        <v>2</v>
      </c>
      <c r="G27" s="66">
        <f t="shared" si="7"/>
        <v>0</v>
      </c>
      <c r="H27" s="67">
        <f t="shared" si="7"/>
        <v>0</v>
      </c>
      <c r="I27" s="66">
        <f t="shared" si="7"/>
        <v>8</v>
      </c>
      <c r="J27" s="66">
        <f t="shared" si="7"/>
        <v>2</v>
      </c>
      <c r="K27" s="66">
        <f t="shared" si="7"/>
        <v>0</v>
      </c>
      <c r="L27" s="68">
        <f t="shared" si="7"/>
        <v>0</v>
      </c>
      <c r="M27" s="66">
        <f t="shared" si="7"/>
        <v>8</v>
      </c>
      <c r="N27" s="66">
        <f t="shared" si="7"/>
        <v>2.5</v>
      </c>
      <c r="O27" s="66">
        <f t="shared" si="7"/>
        <v>0</v>
      </c>
      <c r="P27" s="68">
        <f t="shared" si="7"/>
        <v>0</v>
      </c>
      <c r="Q27" s="66">
        <f t="shared" si="7"/>
        <v>8</v>
      </c>
      <c r="R27" s="66">
        <f t="shared" si="7"/>
        <v>2</v>
      </c>
      <c r="S27" s="66">
        <f t="shared" si="7"/>
        <v>0</v>
      </c>
      <c r="T27" s="68">
        <f t="shared" si="7"/>
        <v>0</v>
      </c>
      <c r="U27" s="66">
        <f t="shared" si="7"/>
        <v>8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40</v>
      </c>
      <c r="AH27" s="46">
        <f t="shared" si="7"/>
        <v>8.5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3C3063A-676C-4125-8C09-3E6A3CB43442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BE43C5FC-EE3A-4A37-AEDF-4DE0907FE315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35D701F1-4793-495E-960E-91988582C264}">
          <x14:formula1>
            <xm:f>EMPLOYEES!$A$2:$A$51</xm:f>
          </x14:formula1>
          <xm:sqref>A1:C1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45A1-4F17-42DA-B06F-8D7DBB21E940}">
  <dimension ref="A1:AJ86"/>
  <sheetViews>
    <sheetView showGridLines="0" zoomScale="41" zoomScaleNormal="55" workbookViewId="0">
      <selection activeCell="H14" sqref="H14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70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/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/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/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1</v>
      </c>
      <c r="I31" s="93" t="b">
        <v>1</v>
      </c>
      <c r="J31" s="93" t="b">
        <v>1</v>
      </c>
      <c r="K31" s="94" t="b">
        <v>1</v>
      </c>
      <c r="L31" s="93" t="b">
        <v>1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C302AA-0B81-4850-8357-96526DF8B32A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11D035A0-8B29-4D2F-8EAD-3659901E704B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05CF0F17-930A-4934-A2D5-70C4763FB4FD}">
          <x14:formula1>
            <xm:f>EMPLOYEES!$A$2:$A$51</xm:f>
          </x14:formula1>
          <xm:sqref>A1:C1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A333-1645-494E-B45D-91A76620A52F}">
  <dimension ref="A1:AJ86"/>
  <sheetViews>
    <sheetView showGridLines="0" tabSelected="1" zoomScale="76" zoomScaleNormal="55" workbookViewId="0">
      <selection activeCell="E9" sqref="E9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 t="s">
        <v>71</v>
      </c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46110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46104</v>
      </c>
      <c r="F6" s="142"/>
      <c r="G6" s="142"/>
      <c r="H6" s="146"/>
      <c r="I6" s="147">
        <f t="shared" ref="I6" si="1">M6-1</f>
        <v>46105</v>
      </c>
      <c r="J6" s="148"/>
      <c r="K6" s="148"/>
      <c r="L6" s="148"/>
      <c r="M6" s="145">
        <f t="shared" ref="M6" si="2">Q6-1</f>
        <v>46106</v>
      </c>
      <c r="N6" s="142"/>
      <c r="O6" s="142"/>
      <c r="P6" s="146"/>
      <c r="Q6" s="147">
        <f t="shared" ref="Q6" si="3">U6-1</f>
        <v>46107</v>
      </c>
      <c r="R6" s="148"/>
      <c r="S6" s="148"/>
      <c r="T6" s="148"/>
      <c r="U6" s="145">
        <f t="shared" ref="U6" si="4">Y6-1</f>
        <v>46108</v>
      </c>
      <c r="V6" s="142"/>
      <c r="W6" s="142"/>
      <c r="X6" s="146"/>
      <c r="Y6" s="147">
        <f>AC6-1</f>
        <v>46109</v>
      </c>
      <c r="Z6" s="148"/>
      <c r="AA6" s="148"/>
      <c r="AB6" s="148"/>
      <c r="AC6" s="149">
        <f>A3</f>
        <v>46110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 t="s">
        <v>72</v>
      </c>
      <c r="B10" s="163"/>
      <c r="C10" s="163"/>
      <c r="D10" s="164"/>
      <c r="E10" s="10"/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 t="s">
        <v>20</v>
      </c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 t="s">
        <v>63</v>
      </c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46111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3EE465-D3BE-438E-8B5D-73C04565179D}">
          <x14:formula1>
            <xm:f>EMPLOYEES!$A$2:$A$51</xm:f>
          </x14:formula1>
          <xm:sqref>A1:C1</xm:sqref>
        </x14:dataValidation>
        <x14:dataValidation type="list" allowBlank="1" showInputMessage="1" showErrorMessage="1" xr:uid="{DA87F98F-11F9-453E-95DC-2CEE7D1692AA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6DA4B413-B78E-44B3-9E81-13EAF9B26A4D}">
          <x14:formula1>
            <xm:f>'PHASE CODES'!$C$2:$C$6</xm:f>
          </x14:formula1>
          <xm:sqref>H9:H26 L9:L26 P9:P26 T9:T26 X9:X26 AB9:AB26 AF9:AF26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FF78-C965-4A9F-91B6-F60C497E4C28}">
  <dimension ref="A1:AJ86"/>
  <sheetViews>
    <sheetView showGridLines="0" zoomScale="55" zoomScaleNormal="55" workbookViewId="0">
      <selection activeCell="E10" sqref="E10"/>
    </sheetView>
  </sheetViews>
  <sheetFormatPr defaultRowHeight="14.45"/>
  <cols>
    <col min="1" max="1" width="41.7109375" bestFit="1" customWidth="1"/>
    <col min="2" max="2" width="14.28515625" bestFit="1" customWidth="1"/>
    <col min="3" max="3" width="16.28515625" bestFit="1" customWidth="1"/>
    <col min="4" max="4" width="15.7109375" bestFit="1" customWidth="1"/>
    <col min="5" max="12" width="9.7109375" customWidth="1"/>
    <col min="13" max="13" width="11.85546875" bestFit="1" customWidth="1"/>
    <col min="14" max="35" width="9.7109375" customWidth="1"/>
  </cols>
  <sheetData>
    <row r="1" spans="1:36" ht="33.6" thickBot="1">
      <c r="A1" s="141"/>
      <c r="B1" s="141"/>
      <c r="C1" s="141"/>
      <c r="D1" s="142"/>
      <c r="E1" s="142"/>
      <c r="F1" s="142"/>
      <c r="G1" s="142"/>
      <c r="H1" s="50"/>
      <c r="I1" s="50"/>
      <c r="L1" s="51"/>
      <c r="M1" s="51"/>
      <c r="N1" s="51"/>
      <c r="O1" s="51"/>
      <c r="P1" s="51"/>
      <c r="Q1" s="51"/>
      <c r="R1" s="52"/>
      <c r="S1" s="51"/>
      <c r="T1" s="51" t="s">
        <v>1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30"/>
      <c r="AH1" s="30"/>
      <c r="AI1" s="30"/>
      <c r="AJ1" s="1" t="s">
        <v>2</v>
      </c>
    </row>
    <row r="2" spans="1:36" ht="31.9">
      <c r="A2" s="53" t="s">
        <v>3</v>
      </c>
      <c r="B2" s="30" t="s">
        <v>2</v>
      </c>
      <c r="C2" s="30"/>
      <c r="D2" s="30"/>
      <c r="E2" s="30"/>
      <c r="F2" s="30"/>
      <c r="G2" s="30"/>
      <c r="H2" s="30"/>
      <c r="I2" s="49"/>
      <c r="J2" s="49"/>
      <c r="K2" s="49"/>
      <c r="L2" s="49"/>
      <c r="M2" s="49"/>
      <c r="N2" s="49"/>
      <c r="O2" s="49"/>
      <c r="P2" s="54"/>
      <c r="Q2" s="55"/>
      <c r="R2" s="55"/>
      <c r="S2" s="49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" t="s">
        <v>2</v>
      </c>
    </row>
    <row r="3" spans="1:36" ht="21.6" thickBot="1">
      <c r="A3" s="92">
        <v>46068</v>
      </c>
      <c r="B3" s="56" t="s">
        <v>2</v>
      </c>
      <c r="C3" s="56" t="s">
        <v>2</v>
      </c>
      <c r="D3" s="56" t="s">
        <v>2</v>
      </c>
      <c r="E3" s="56" t="s">
        <v>2</v>
      </c>
      <c r="F3" s="56" t="s">
        <v>2</v>
      </c>
      <c r="G3" s="56" t="s">
        <v>2</v>
      </c>
      <c r="H3" s="56" t="s">
        <v>2</v>
      </c>
      <c r="I3" s="56" t="s">
        <v>2</v>
      </c>
      <c r="J3" s="57"/>
      <c r="K3" s="57"/>
      <c r="L3" s="57"/>
      <c r="M3" s="57"/>
      <c r="N3" s="57"/>
      <c r="O3" s="57"/>
      <c r="P3" s="32"/>
      <c r="Q3" s="57"/>
      <c r="R3" s="32"/>
      <c r="S3" s="57"/>
      <c r="T3" s="58" t="s">
        <v>4</v>
      </c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30"/>
      <c r="AH3" s="30"/>
      <c r="AI3" s="30"/>
      <c r="AJ3" s="1" t="s">
        <v>2</v>
      </c>
    </row>
    <row r="4" spans="1:36" ht="15" thickBot="1">
      <c r="A4" s="143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1" t="s">
        <v>2</v>
      </c>
    </row>
    <row r="5" spans="1:36">
      <c r="A5" s="144"/>
      <c r="B5" s="31"/>
      <c r="C5" s="31"/>
      <c r="D5" s="31"/>
      <c r="E5" s="178" t="s">
        <v>6</v>
      </c>
      <c r="F5" s="179"/>
      <c r="G5" s="179"/>
      <c r="H5" s="180"/>
      <c r="I5" s="179" t="s">
        <v>6</v>
      </c>
      <c r="J5" s="179"/>
      <c r="K5" s="179"/>
      <c r="L5" s="179"/>
      <c r="M5" s="178" t="s">
        <v>6</v>
      </c>
      <c r="N5" s="179"/>
      <c r="O5" s="179"/>
      <c r="P5" s="180"/>
      <c r="Q5" s="179" t="s">
        <v>6</v>
      </c>
      <c r="R5" s="179"/>
      <c r="S5" s="179"/>
      <c r="T5" s="179"/>
      <c r="U5" s="178" t="s">
        <v>6</v>
      </c>
      <c r="V5" s="179"/>
      <c r="W5" s="179"/>
      <c r="X5" s="180"/>
      <c r="Y5" s="179" t="s">
        <v>6</v>
      </c>
      <c r="Z5" s="179"/>
      <c r="AA5" s="179"/>
      <c r="AB5" s="179"/>
      <c r="AC5" s="181" t="s">
        <v>6</v>
      </c>
      <c r="AD5" s="182"/>
      <c r="AE5" s="182"/>
      <c r="AF5" s="183"/>
      <c r="AG5" s="31"/>
      <c r="AH5" s="31"/>
      <c r="AI5" s="31"/>
      <c r="AJ5" s="2" t="s">
        <v>2</v>
      </c>
    </row>
    <row r="6" spans="1:36" ht="21" thickBot="1">
      <c r="A6" s="32"/>
      <c r="B6" s="32"/>
      <c r="C6" s="32"/>
      <c r="D6" s="32"/>
      <c r="E6" s="145">
        <f t="shared" ref="E6" si="0">I6-1</f>
        <v>46062</v>
      </c>
      <c r="F6" s="142"/>
      <c r="G6" s="142"/>
      <c r="H6" s="146"/>
      <c r="I6" s="147">
        <f t="shared" ref="I6" si="1">M6-1</f>
        <v>46063</v>
      </c>
      <c r="J6" s="148"/>
      <c r="K6" s="148"/>
      <c r="L6" s="148"/>
      <c r="M6" s="145">
        <f t="shared" ref="M6" si="2">Q6-1</f>
        <v>46064</v>
      </c>
      <c r="N6" s="142"/>
      <c r="O6" s="142"/>
      <c r="P6" s="146"/>
      <c r="Q6" s="147">
        <f t="shared" ref="Q6" si="3">U6-1</f>
        <v>46065</v>
      </c>
      <c r="R6" s="148"/>
      <c r="S6" s="148"/>
      <c r="T6" s="148"/>
      <c r="U6" s="145">
        <f t="shared" ref="U6" si="4">Y6-1</f>
        <v>46066</v>
      </c>
      <c r="V6" s="142"/>
      <c r="W6" s="142"/>
      <c r="X6" s="146"/>
      <c r="Y6" s="147">
        <f>AC6-1</f>
        <v>46067</v>
      </c>
      <c r="Z6" s="148"/>
      <c r="AA6" s="148"/>
      <c r="AB6" s="148"/>
      <c r="AC6" s="149">
        <f>A3</f>
        <v>46068</v>
      </c>
      <c r="AD6" s="148"/>
      <c r="AE6" s="148"/>
      <c r="AF6" s="150"/>
      <c r="AG6" s="32"/>
      <c r="AH6" s="32"/>
      <c r="AI6" s="32"/>
      <c r="AJ6" s="3" t="s">
        <v>2</v>
      </c>
    </row>
    <row r="7" spans="1:36" ht="16.149999999999999" thickBot="1">
      <c r="A7" s="30"/>
      <c r="B7" s="30"/>
      <c r="C7" s="30"/>
      <c r="D7" s="30"/>
      <c r="E7" s="184" t="s">
        <v>7</v>
      </c>
      <c r="F7" s="185"/>
      <c r="G7" s="185"/>
      <c r="H7" s="185"/>
      <c r="I7" s="186" t="s">
        <v>8</v>
      </c>
      <c r="J7" s="187"/>
      <c r="K7" s="187"/>
      <c r="L7" s="188"/>
      <c r="M7" s="189" t="s">
        <v>9</v>
      </c>
      <c r="N7" s="190"/>
      <c r="O7" s="190"/>
      <c r="P7" s="191"/>
      <c r="Q7" s="186" t="s">
        <v>10</v>
      </c>
      <c r="R7" s="187"/>
      <c r="S7" s="187"/>
      <c r="T7" s="188"/>
      <c r="U7" s="189" t="s">
        <v>11</v>
      </c>
      <c r="V7" s="190"/>
      <c r="W7" s="190"/>
      <c r="X7" s="191"/>
      <c r="Y7" s="187" t="s">
        <v>12</v>
      </c>
      <c r="Z7" s="187"/>
      <c r="AA7" s="187"/>
      <c r="AB7" s="192"/>
      <c r="AC7" s="187" t="s">
        <v>13</v>
      </c>
      <c r="AD7" s="187"/>
      <c r="AE7" s="187"/>
      <c r="AF7" s="192"/>
      <c r="AG7" s="154" t="s">
        <v>14</v>
      </c>
      <c r="AH7" s="154"/>
      <c r="AI7" s="155"/>
      <c r="AJ7" s="1" t="s">
        <v>2</v>
      </c>
    </row>
    <row r="8" spans="1:36" ht="32.450000000000003" thickBot="1">
      <c r="A8" s="156" t="s">
        <v>15</v>
      </c>
      <c r="B8" s="157"/>
      <c r="C8" s="157"/>
      <c r="D8" s="158"/>
      <c r="E8" s="59" t="s">
        <v>16</v>
      </c>
      <c r="F8" s="59" t="s">
        <v>17</v>
      </c>
      <c r="G8" s="60" t="s">
        <v>18</v>
      </c>
      <c r="H8" s="61" t="s">
        <v>19</v>
      </c>
      <c r="I8" s="62" t="s">
        <v>16</v>
      </c>
      <c r="J8" s="59" t="s">
        <v>17</v>
      </c>
      <c r="K8" s="60" t="s">
        <v>18</v>
      </c>
      <c r="L8" s="63" t="s">
        <v>19</v>
      </c>
      <c r="M8" s="62" t="s">
        <v>16</v>
      </c>
      <c r="N8" s="59" t="s">
        <v>17</v>
      </c>
      <c r="O8" s="60" t="s">
        <v>18</v>
      </c>
      <c r="P8" s="63" t="s">
        <v>19</v>
      </c>
      <c r="Q8" s="62" t="s">
        <v>16</v>
      </c>
      <c r="R8" s="59" t="s">
        <v>17</v>
      </c>
      <c r="S8" s="60" t="s">
        <v>18</v>
      </c>
      <c r="T8" s="63" t="s">
        <v>19</v>
      </c>
      <c r="U8" s="62" t="s">
        <v>16</v>
      </c>
      <c r="V8" s="59" t="s">
        <v>17</v>
      </c>
      <c r="W8" s="60" t="s">
        <v>18</v>
      </c>
      <c r="X8" s="63" t="s">
        <v>19</v>
      </c>
      <c r="Y8" s="59" t="s">
        <v>16</v>
      </c>
      <c r="Z8" s="59" t="s">
        <v>17</v>
      </c>
      <c r="AA8" s="59" t="s">
        <v>18</v>
      </c>
      <c r="AB8" s="64" t="s">
        <v>19</v>
      </c>
      <c r="AC8" s="59" t="s">
        <v>16</v>
      </c>
      <c r="AD8" s="59" t="s">
        <v>17</v>
      </c>
      <c r="AE8" s="60" t="s">
        <v>18</v>
      </c>
      <c r="AF8" s="65" t="s">
        <v>19</v>
      </c>
      <c r="AG8" s="33" t="s">
        <v>16</v>
      </c>
      <c r="AH8" s="34" t="s">
        <v>17</v>
      </c>
      <c r="AI8" s="35" t="s">
        <v>18</v>
      </c>
      <c r="AJ8" s="1" t="s">
        <v>2</v>
      </c>
    </row>
    <row r="9" spans="1:36" ht="22.9" customHeight="1">
      <c r="A9" s="159"/>
      <c r="B9" s="160"/>
      <c r="C9" s="160"/>
      <c r="D9" s="161"/>
      <c r="E9" s="5"/>
      <c r="F9" s="5"/>
      <c r="G9" s="6"/>
      <c r="H9" s="7"/>
      <c r="I9" s="8"/>
      <c r="J9" s="5"/>
      <c r="K9" s="6"/>
      <c r="L9" s="9"/>
      <c r="M9" s="8"/>
      <c r="N9" s="5"/>
      <c r="O9" s="6"/>
      <c r="P9" s="9"/>
      <c r="Q9" s="8"/>
      <c r="R9" s="5"/>
      <c r="S9" s="6"/>
      <c r="T9" s="9"/>
      <c r="U9" s="120"/>
      <c r="V9" s="121"/>
      <c r="W9" s="122"/>
      <c r="X9" s="123"/>
      <c r="Y9" s="98"/>
      <c r="Z9" s="98"/>
      <c r="AA9" s="99"/>
      <c r="AB9" s="108"/>
      <c r="AC9" s="98"/>
      <c r="AD9" s="98"/>
      <c r="AE9" s="99"/>
      <c r="AF9" s="109" t="s">
        <v>2</v>
      </c>
      <c r="AG9" s="36">
        <f t="shared" ref="AG9:AI24" si="5">SUM(E9+I9+M9+Q9+U9+Y9+AC9)</f>
        <v>0</v>
      </c>
      <c r="AH9" s="37">
        <f t="shared" si="5"/>
        <v>0</v>
      </c>
      <c r="AI9" s="38">
        <f t="shared" si="5"/>
        <v>0</v>
      </c>
      <c r="AJ9" s="1" t="s">
        <v>2</v>
      </c>
    </row>
    <row r="10" spans="1:36" ht="22.9" customHeight="1">
      <c r="A10" s="162"/>
      <c r="B10" s="163"/>
      <c r="C10" s="163"/>
      <c r="D10" s="164"/>
      <c r="E10" s="10"/>
      <c r="F10" s="10"/>
      <c r="G10" s="11"/>
      <c r="H10" s="12"/>
      <c r="I10" s="13"/>
      <c r="J10" s="10"/>
      <c r="K10" s="11"/>
      <c r="L10" s="14"/>
      <c r="M10" s="13"/>
      <c r="N10" s="10"/>
      <c r="O10" s="11"/>
      <c r="P10" s="14"/>
      <c r="Q10" s="13"/>
      <c r="R10" s="10"/>
      <c r="S10" s="11"/>
      <c r="T10" s="14"/>
      <c r="U10" s="124"/>
      <c r="V10" s="125"/>
      <c r="W10" s="126"/>
      <c r="X10" s="127"/>
      <c r="Y10" s="100"/>
      <c r="Z10" s="100"/>
      <c r="AA10" s="101"/>
      <c r="AB10" s="110"/>
      <c r="AC10" s="100"/>
      <c r="AD10" s="100"/>
      <c r="AE10" s="101"/>
      <c r="AF10" s="111"/>
      <c r="AG10" s="39">
        <f t="shared" si="5"/>
        <v>0</v>
      </c>
      <c r="AH10" s="40">
        <f t="shared" si="5"/>
        <v>0</v>
      </c>
      <c r="AI10" s="41">
        <f t="shared" si="5"/>
        <v>0</v>
      </c>
      <c r="AJ10" s="1"/>
    </row>
    <row r="11" spans="1:36" ht="22.9" customHeight="1">
      <c r="A11" s="162"/>
      <c r="B11" s="163"/>
      <c r="C11" s="163"/>
      <c r="D11" s="164"/>
      <c r="E11" s="10"/>
      <c r="F11" s="10"/>
      <c r="G11" s="11"/>
      <c r="H11" s="12"/>
      <c r="I11" s="13"/>
      <c r="J11" s="10"/>
      <c r="K11" s="11"/>
      <c r="L11" s="14"/>
      <c r="M11" s="13"/>
      <c r="N11" s="10"/>
      <c r="O11" s="11"/>
      <c r="P11" s="14"/>
      <c r="Q11" s="13"/>
      <c r="R11" s="10"/>
      <c r="S11" s="11"/>
      <c r="T11" s="14"/>
      <c r="U11" s="124"/>
      <c r="V11" s="125"/>
      <c r="W11" s="126"/>
      <c r="X11" s="127"/>
      <c r="Y11" s="100"/>
      <c r="Z11" s="100"/>
      <c r="AA11" s="101"/>
      <c r="AB11" s="110"/>
      <c r="AC11" s="100"/>
      <c r="AD11" s="100"/>
      <c r="AE11" s="101"/>
      <c r="AF11" s="111"/>
      <c r="AG11" s="39">
        <f t="shared" si="5"/>
        <v>0</v>
      </c>
      <c r="AH11" s="40">
        <f t="shared" si="5"/>
        <v>0</v>
      </c>
      <c r="AI11" s="41">
        <f t="shared" si="5"/>
        <v>0</v>
      </c>
      <c r="AJ11" s="1"/>
    </row>
    <row r="12" spans="1:36" ht="22.9" customHeight="1">
      <c r="A12" s="162"/>
      <c r="B12" s="163"/>
      <c r="C12" s="163"/>
      <c r="D12" s="164"/>
      <c r="E12" s="10"/>
      <c r="F12" s="10"/>
      <c r="G12" s="11"/>
      <c r="H12" s="12"/>
      <c r="I12" s="13"/>
      <c r="J12" s="10"/>
      <c r="K12" s="11"/>
      <c r="L12" s="14"/>
      <c r="M12" s="13"/>
      <c r="N12" s="10"/>
      <c r="O12" s="11"/>
      <c r="P12" s="14"/>
      <c r="Q12" s="13"/>
      <c r="R12" s="10"/>
      <c r="S12" s="11"/>
      <c r="T12" s="14"/>
      <c r="U12" s="124"/>
      <c r="V12" s="125"/>
      <c r="W12" s="126"/>
      <c r="X12" s="127"/>
      <c r="Y12" s="100"/>
      <c r="Z12" s="100"/>
      <c r="AA12" s="101"/>
      <c r="AB12" s="110"/>
      <c r="AC12" s="100"/>
      <c r="AD12" s="100"/>
      <c r="AE12" s="101"/>
      <c r="AF12" s="111"/>
      <c r="AG12" s="39">
        <f t="shared" si="5"/>
        <v>0</v>
      </c>
      <c r="AH12" s="40">
        <f t="shared" si="5"/>
        <v>0</v>
      </c>
      <c r="AI12" s="41">
        <f t="shared" si="5"/>
        <v>0</v>
      </c>
      <c r="AJ12" s="1"/>
    </row>
    <row r="13" spans="1:36" ht="22.9" customHeight="1">
      <c r="A13" s="162"/>
      <c r="B13" s="163"/>
      <c r="C13" s="163"/>
      <c r="D13" s="164"/>
      <c r="E13" s="10"/>
      <c r="F13" s="10"/>
      <c r="G13" s="11"/>
      <c r="H13" s="12"/>
      <c r="I13" s="13"/>
      <c r="J13" s="10"/>
      <c r="K13" s="11"/>
      <c r="L13" s="14"/>
      <c r="M13" s="13"/>
      <c r="N13" s="10"/>
      <c r="O13" s="11"/>
      <c r="P13" s="14"/>
      <c r="Q13" s="13"/>
      <c r="R13" s="10"/>
      <c r="S13" s="11"/>
      <c r="T13" s="14"/>
      <c r="U13" s="124"/>
      <c r="V13" s="125"/>
      <c r="W13" s="126"/>
      <c r="X13" s="127"/>
      <c r="Y13" s="100"/>
      <c r="Z13" s="100"/>
      <c r="AA13" s="101"/>
      <c r="AB13" s="110"/>
      <c r="AC13" s="100"/>
      <c r="AD13" s="100"/>
      <c r="AE13" s="101"/>
      <c r="AF13" s="111"/>
      <c r="AG13" s="39">
        <f t="shared" si="5"/>
        <v>0</v>
      </c>
      <c r="AH13" s="40">
        <f t="shared" si="5"/>
        <v>0</v>
      </c>
      <c r="AI13" s="41">
        <f t="shared" si="5"/>
        <v>0</v>
      </c>
      <c r="AJ13" s="1"/>
    </row>
    <row r="14" spans="1:36" ht="22.9" customHeight="1">
      <c r="A14" s="162"/>
      <c r="B14" s="163"/>
      <c r="C14" s="163"/>
      <c r="D14" s="164"/>
      <c r="E14" s="10"/>
      <c r="F14" s="10"/>
      <c r="G14" s="11"/>
      <c r="H14" s="12"/>
      <c r="I14" s="13"/>
      <c r="J14" s="10"/>
      <c r="K14" s="11"/>
      <c r="L14" s="14"/>
      <c r="M14" s="13"/>
      <c r="N14" s="10"/>
      <c r="O14" s="11"/>
      <c r="P14" s="14"/>
      <c r="Q14" s="13"/>
      <c r="R14" s="10"/>
      <c r="S14" s="11"/>
      <c r="T14" s="14"/>
      <c r="U14" s="124"/>
      <c r="V14" s="125"/>
      <c r="W14" s="126"/>
      <c r="X14" s="127"/>
      <c r="Y14" s="100"/>
      <c r="Z14" s="100"/>
      <c r="AA14" s="101"/>
      <c r="AB14" s="110"/>
      <c r="AC14" s="100"/>
      <c r="AD14" s="100"/>
      <c r="AE14" s="101"/>
      <c r="AF14" s="111" t="s">
        <v>2</v>
      </c>
      <c r="AG14" s="39">
        <f t="shared" si="5"/>
        <v>0</v>
      </c>
      <c r="AH14" s="40">
        <f t="shared" si="5"/>
        <v>0</v>
      </c>
      <c r="AI14" s="41">
        <f t="shared" si="5"/>
        <v>0</v>
      </c>
      <c r="AJ14" s="1" t="s">
        <v>2</v>
      </c>
    </row>
    <row r="15" spans="1:36" ht="22.9" customHeight="1">
      <c r="A15" s="162"/>
      <c r="B15" s="163"/>
      <c r="C15" s="163"/>
      <c r="D15" s="164"/>
      <c r="E15" s="10"/>
      <c r="F15" s="10"/>
      <c r="G15" s="11"/>
      <c r="H15" s="12"/>
      <c r="I15" s="13"/>
      <c r="J15" s="10"/>
      <c r="K15" s="11"/>
      <c r="L15" s="14"/>
      <c r="M15" s="13"/>
      <c r="N15" s="10"/>
      <c r="O15" s="11"/>
      <c r="P15" s="14"/>
      <c r="Q15" s="13"/>
      <c r="R15" s="10"/>
      <c r="S15" s="11"/>
      <c r="T15" s="14"/>
      <c r="U15" s="124"/>
      <c r="V15" s="125"/>
      <c r="W15" s="126"/>
      <c r="X15" s="127"/>
      <c r="Y15" s="100"/>
      <c r="Z15" s="100"/>
      <c r="AA15" s="101"/>
      <c r="AB15" s="110"/>
      <c r="AC15" s="100"/>
      <c r="AD15" s="100"/>
      <c r="AE15" s="101"/>
      <c r="AF15" s="111"/>
      <c r="AG15" s="39">
        <f t="shared" si="5"/>
        <v>0</v>
      </c>
      <c r="AH15" s="40">
        <f t="shared" si="5"/>
        <v>0</v>
      </c>
      <c r="AI15" s="41">
        <f t="shared" si="5"/>
        <v>0</v>
      </c>
      <c r="AJ15" s="1"/>
    </row>
    <row r="16" spans="1:36" ht="22.9" customHeight="1">
      <c r="A16" s="162"/>
      <c r="B16" s="163"/>
      <c r="C16" s="163"/>
      <c r="D16" s="164"/>
      <c r="E16" s="10"/>
      <c r="F16" s="10"/>
      <c r="G16" s="11"/>
      <c r="H16" s="12"/>
      <c r="I16" s="13"/>
      <c r="J16" s="10"/>
      <c r="K16" s="11"/>
      <c r="L16" s="14"/>
      <c r="M16" s="13"/>
      <c r="N16" s="10"/>
      <c r="O16" s="11"/>
      <c r="P16" s="14"/>
      <c r="Q16" s="13"/>
      <c r="R16" s="10"/>
      <c r="S16" s="11"/>
      <c r="T16" s="14"/>
      <c r="U16" s="124"/>
      <c r="V16" s="125"/>
      <c r="W16" s="126"/>
      <c r="X16" s="127"/>
      <c r="Y16" s="100"/>
      <c r="Z16" s="100"/>
      <c r="AA16" s="101"/>
      <c r="AB16" s="110"/>
      <c r="AC16" s="100"/>
      <c r="AD16" s="100"/>
      <c r="AE16" s="101"/>
      <c r="AF16" s="111" t="s">
        <v>2</v>
      </c>
      <c r="AG16" s="39">
        <f t="shared" si="5"/>
        <v>0</v>
      </c>
      <c r="AH16" s="40">
        <f t="shared" si="5"/>
        <v>0</v>
      </c>
      <c r="AI16" s="41">
        <f t="shared" si="5"/>
        <v>0</v>
      </c>
      <c r="AJ16" s="1" t="s">
        <v>2</v>
      </c>
    </row>
    <row r="17" spans="1:36" ht="22.9" customHeight="1">
      <c r="A17" s="162"/>
      <c r="B17" s="163"/>
      <c r="C17" s="163"/>
      <c r="D17" s="164"/>
      <c r="E17" s="10"/>
      <c r="F17" s="10"/>
      <c r="G17" s="11"/>
      <c r="H17" s="12"/>
      <c r="I17" s="13"/>
      <c r="J17" s="10"/>
      <c r="K17" s="11"/>
      <c r="L17" s="14"/>
      <c r="M17" s="13"/>
      <c r="N17" s="10"/>
      <c r="O17" s="11"/>
      <c r="P17" s="14"/>
      <c r="Q17" s="13"/>
      <c r="R17" s="10"/>
      <c r="S17" s="11"/>
      <c r="T17" s="14"/>
      <c r="U17" s="124"/>
      <c r="V17" s="125"/>
      <c r="W17" s="126"/>
      <c r="X17" s="127"/>
      <c r="Y17" s="100"/>
      <c r="Z17" s="100"/>
      <c r="AA17" s="101"/>
      <c r="AB17" s="110"/>
      <c r="AC17" s="100"/>
      <c r="AD17" s="100"/>
      <c r="AE17" s="101"/>
      <c r="AF17" s="111" t="s">
        <v>2</v>
      </c>
      <c r="AG17" s="39">
        <f t="shared" si="5"/>
        <v>0</v>
      </c>
      <c r="AH17" s="40">
        <f t="shared" si="5"/>
        <v>0</v>
      </c>
      <c r="AI17" s="41">
        <f t="shared" si="5"/>
        <v>0</v>
      </c>
      <c r="AJ17" s="1" t="s">
        <v>2</v>
      </c>
    </row>
    <row r="18" spans="1:36" ht="22.9" customHeight="1">
      <c r="A18" s="151"/>
      <c r="B18" s="152"/>
      <c r="C18" s="152"/>
      <c r="D18" s="153"/>
      <c r="E18" s="10"/>
      <c r="F18" s="10"/>
      <c r="G18" s="11"/>
      <c r="H18" s="12"/>
      <c r="I18" s="13"/>
      <c r="J18" s="10"/>
      <c r="K18" s="11"/>
      <c r="L18" s="14"/>
      <c r="M18" s="13"/>
      <c r="N18" s="10"/>
      <c r="O18" s="11"/>
      <c r="P18" s="14"/>
      <c r="Q18" s="13"/>
      <c r="R18" s="10"/>
      <c r="S18" s="11"/>
      <c r="T18" s="14"/>
      <c r="U18" s="124"/>
      <c r="V18" s="125"/>
      <c r="W18" s="126"/>
      <c r="X18" s="127"/>
      <c r="Y18" s="100"/>
      <c r="Z18" s="100"/>
      <c r="AA18" s="101"/>
      <c r="AB18" s="110"/>
      <c r="AC18" s="100"/>
      <c r="AD18" s="100"/>
      <c r="AE18" s="101"/>
      <c r="AF18" s="111"/>
      <c r="AG18" s="39">
        <f t="shared" si="5"/>
        <v>0</v>
      </c>
      <c r="AH18" s="40">
        <f t="shared" si="5"/>
        <v>0</v>
      </c>
      <c r="AI18" s="41">
        <f t="shared" si="5"/>
        <v>0</v>
      </c>
      <c r="AJ18" s="1"/>
    </row>
    <row r="19" spans="1:36" ht="22.9" customHeight="1">
      <c r="A19" s="151"/>
      <c r="B19" s="152"/>
      <c r="C19" s="152"/>
      <c r="D19" s="153"/>
      <c r="E19" s="10"/>
      <c r="F19" s="10"/>
      <c r="G19" s="11"/>
      <c r="H19" s="12"/>
      <c r="I19" s="13"/>
      <c r="J19" s="10"/>
      <c r="K19" s="11"/>
      <c r="L19" s="14"/>
      <c r="M19" s="13"/>
      <c r="N19" s="10"/>
      <c r="O19" s="11"/>
      <c r="P19" s="14"/>
      <c r="Q19" s="13"/>
      <c r="R19" s="10"/>
      <c r="S19" s="11"/>
      <c r="T19" s="14"/>
      <c r="U19" s="124"/>
      <c r="V19" s="125"/>
      <c r="W19" s="126"/>
      <c r="X19" s="127"/>
      <c r="Y19" s="100"/>
      <c r="Z19" s="100"/>
      <c r="AA19" s="101"/>
      <c r="AB19" s="110"/>
      <c r="AC19" s="100"/>
      <c r="AD19" s="100"/>
      <c r="AE19" s="101"/>
      <c r="AF19" s="111"/>
      <c r="AG19" s="39">
        <f t="shared" si="5"/>
        <v>0</v>
      </c>
      <c r="AH19" s="40">
        <f t="shared" si="5"/>
        <v>0</v>
      </c>
      <c r="AI19" s="41">
        <f t="shared" si="5"/>
        <v>0</v>
      </c>
      <c r="AJ19" s="1"/>
    </row>
    <row r="20" spans="1:36" ht="22.9" customHeight="1">
      <c r="A20" s="151"/>
      <c r="B20" s="152"/>
      <c r="C20" s="152"/>
      <c r="D20" s="153"/>
      <c r="E20" s="10"/>
      <c r="F20" s="10"/>
      <c r="G20" s="11"/>
      <c r="H20" s="12"/>
      <c r="I20" s="13"/>
      <c r="J20" s="10"/>
      <c r="K20" s="11"/>
      <c r="L20" s="14"/>
      <c r="M20" s="13"/>
      <c r="N20" s="10"/>
      <c r="O20" s="11"/>
      <c r="P20" s="14"/>
      <c r="Q20" s="13"/>
      <c r="R20" s="10"/>
      <c r="S20" s="11"/>
      <c r="T20" s="14"/>
      <c r="U20" s="124"/>
      <c r="V20" s="125"/>
      <c r="W20" s="126"/>
      <c r="X20" s="127"/>
      <c r="Y20" s="100"/>
      <c r="Z20" s="100"/>
      <c r="AA20" s="101"/>
      <c r="AB20" s="110"/>
      <c r="AC20" s="100"/>
      <c r="AD20" s="100"/>
      <c r="AE20" s="101"/>
      <c r="AF20" s="111"/>
      <c r="AG20" s="39">
        <f t="shared" si="5"/>
        <v>0</v>
      </c>
      <c r="AH20" s="40">
        <f t="shared" si="5"/>
        <v>0</v>
      </c>
      <c r="AI20" s="41">
        <f t="shared" si="5"/>
        <v>0</v>
      </c>
      <c r="AJ20" s="1"/>
    </row>
    <row r="21" spans="1:36" ht="22.9" customHeight="1">
      <c r="A21" s="162"/>
      <c r="B21" s="163"/>
      <c r="C21" s="163"/>
      <c r="D21" s="164"/>
      <c r="E21" s="10"/>
      <c r="F21" s="10"/>
      <c r="G21" s="11"/>
      <c r="H21" s="12"/>
      <c r="I21" s="13"/>
      <c r="J21" s="10"/>
      <c r="K21" s="11"/>
      <c r="L21" s="14"/>
      <c r="M21" s="13"/>
      <c r="N21" s="10"/>
      <c r="O21" s="11"/>
      <c r="P21" s="14"/>
      <c r="Q21" s="13"/>
      <c r="R21" s="10"/>
      <c r="S21" s="11"/>
      <c r="T21" s="14"/>
      <c r="U21" s="124"/>
      <c r="V21" s="125"/>
      <c r="W21" s="126"/>
      <c r="X21" s="127"/>
      <c r="Y21" s="100"/>
      <c r="Z21" s="100"/>
      <c r="AA21" s="101"/>
      <c r="AB21" s="110"/>
      <c r="AC21" s="100"/>
      <c r="AD21" s="100"/>
      <c r="AE21" s="101"/>
      <c r="AF21" s="111" t="s">
        <v>2</v>
      </c>
      <c r="AG21" s="39">
        <f t="shared" si="5"/>
        <v>0</v>
      </c>
      <c r="AH21" s="40">
        <f t="shared" si="5"/>
        <v>0</v>
      </c>
      <c r="AI21" s="41">
        <f t="shared" si="5"/>
        <v>0</v>
      </c>
      <c r="AJ21" s="1" t="s">
        <v>2</v>
      </c>
    </row>
    <row r="22" spans="1:36" ht="22.9" customHeight="1">
      <c r="A22" s="167"/>
      <c r="B22" s="168"/>
      <c r="C22" s="168"/>
      <c r="D22" s="169"/>
      <c r="E22" s="10"/>
      <c r="F22" s="10"/>
      <c r="G22" s="11"/>
      <c r="H22" s="12"/>
      <c r="I22" s="13"/>
      <c r="J22" s="10"/>
      <c r="K22" s="11"/>
      <c r="L22" s="14"/>
      <c r="M22" s="13"/>
      <c r="N22" s="10"/>
      <c r="O22" s="11"/>
      <c r="P22" s="14"/>
      <c r="Q22" s="13"/>
      <c r="R22" s="10"/>
      <c r="S22" s="11"/>
      <c r="T22" s="14"/>
      <c r="U22" s="124"/>
      <c r="V22" s="125"/>
      <c r="W22" s="126"/>
      <c r="X22" s="127"/>
      <c r="Y22" s="100"/>
      <c r="Z22" s="100"/>
      <c r="AA22" s="101"/>
      <c r="AB22" s="110"/>
      <c r="AC22" s="100"/>
      <c r="AD22" s="100"/>
      <c r="AE22" s="101"/>
      <c r="AF22" s="111"/>
      <c r="AG22" s="39">
        <f t="shared" si="5"/>
        <v>0</v>
      </c>
      <c r="AH22" s="40">
        <f t="shared" si="5"/>
        <v>0</v>
      </c>
      <c r="AI22" s="41">
        <f t="shared" si="5"/>
        <v>0</v>
      </c>
      <c r="AJ22" s="1"/>
    </row>
    <row r="23" spans="1:36" ht="22.9" customHeight="1">
      <c r="A23" s="167"/>
      <c r="B23" s="168"/>
      <c r="C23" s="168"/>
      <c r="D23" s="169"/>
      <c r="E23" s="10"/>
      <c r="F23" s="10"/>
      <c r="G23" s="11"/>
      <c r="H23" s="12"/>
      <c r="I23" s="13"/>
      <c r="J23" s="10"/>
      <c r="K23" s="11"/>
      <c r="L23" s="14"/>
      <c r="M23" s="13"/>
      <c r="N23" s="10"/>
      <c r="O23" s="11"/>
      <c r="P23" s="14"/>
      <c r="Q23" s="13"/>
      <c r="R23" s="10"/>
      <c r="S23" s="11"/>
      <c r="T23" s="14"/>
      <c r="U23" s="124"/>
      <c r="V23" s="125"/>
      <c r="W23" s="126"/>
      <c r="X23" s="127"/>
      <c r="Y23" s="100"/>
      <c r="Z23" s="100"/>
      <c r="AA23" s="101"/>
      <c r="AB23" s="110"/>
      <c r="AC23" s="100"/>
      <c r="AD23" s="100"/>
      <c r="AE23" s="101"/>
      <c r="AF23" s="111" t="s">
        <v>2</v>
      </c>
      <c r="AG23" s="39">
        <f t="shared" si="5"/>
        <v>0</v>
      </c>
      <c r="AH23" s="40">
        <f t="shared" si="5"/>
        <v>0</v>
      </c>
      <c r="AI23" s="41">
        <f t="shared" si="5"/>
        <v>0</v>
      </c>
      <c r="AJ23" s="1" t="s">
        <v>2</v>
      </c>
    </row>
    <row r="24" spans="1:36" ht="22.9" customHeight="1">
      <c r="A24" s="167"/>
      <c r="B24" s="168"/>
      <c r="C24" s="168"/>
      <c r="D24" s="169"/>
      <c r="E24" s="15"/>
      <c r="F24" s="15"/>
      <c r="G24" s="16"/>
      <c r="H24" s="17"/>
      <c r="I24" s="18"/>
      <c r="J24" s="15"/>
      <c r="K24" s="16"/>
      <c r="L24" s="19"/>
      <c r="M24" s="18"/>
      <c r="N24" s="15"/>
      <c r="O24" s="16"/>
      <c r="P24" s="19"/>
      <c r="Q24" s="18"/>
      <c r="R24" s="15"/>
      <c r="S24" s="16"/>
      <c r="T24" s="19"/>
      <c r="U24" s="128"/>
      <c r="V24" s="129"/>
      <c r="W24" s="130"/>
      <c r="X24" s="131"/>
      <c r="Y24" s="102"/>
      <c r="Z24" s="102"/>
      <c r="AA24" s="103"/>
      <c r="AB24" s="112"/>
      <c r="AC24" s="103"/>
      <c r="AD24" s="113"/>
      <c r="AE24" s="113"/>
      <c r="AF24" s="114" t="s">
        <v>2</v>
      </c>
      <c r="AG24" s="39">
        <f t="shared" si="5"/>
        <v>0</v>
      </c>
      <c r="AH24" s="40">
        <f t="shared" si="5"/>
        <v>0</v>
      </c>
      <c r="AI24" s="41">
        <f t="shared" si="5"/>
        <v>0</v>
      </c>
      <c r="AJ24" s="1"/>
    </row>
    <row r="25" spans="1:36" ht="22.9" customHeight="1">
      <c r="A25" s="167"/>
      <c r="B25" s="168"/>
      <c r="C25" s="168"/>
      <c r="D25" s="169"/>
      <c r="E25" s="20"/>
      <c r="F25" s="21"/>
      <c r="G25" s="21"/>
      <c r="H25" s="22"/>
      <c r="I25" s="23"/>
      <c r="J25" s="21"/>
      <c r="K25" s="21"/>
      <c r="L25" s="24"/>
      <c r="M25" s="23"/>
      <c r="N25" s="21"/>
      <c r="O25" s="21"/>
      <c r="P25" s="24"/>
      <c r="Q25" s="23"/>
      <c r="R25" s="21"/>
      <c r="S25" s="21"/>
      <c r="T25" s="24"/>
      <c r="U25" s="132"/>
      <c r="V25" s="133"/>
      <c r="W25" s="133"/>
      <c r="X25" s="134"/>
      <c r="Y25" s="104"/>
      <c r="Z25" s="105"/>
      <c r="AA25" s="105"/>
      <c r="AB25" s="115"/>
      <c r="AC25" s="104"/>
      <c r="AD25" s="116"/>
      <c r="AE25" s="116"/>
      <c r="AF25" s="117" t="s">
        <v>2</v>
      </c>
      <c r="AG25" s="39">
        <f t="shared" ref="AG25:AI26" si="6">SUM(E25+I25+M25+Q25+U25+Y25+AC25)</f>
        <v>0</v>
      </c>
      <c r="AH25" s="40">
        <f t="shared" si="6"/>
        <v>0</v>
      </c>
      <c r="AI25" s="41">
        <f t="shared" si="6"/>
        <v>0</v>
      </c>
      <c r="AJ25" s="1"/>
    </row>
    <row r="26" spans="1:36" ht="22.9" customHeight="1" thickBot="1">
      <c r="A26" s="170"/>
      <c r="B26" s="171"/>
      <c r="C26" s="171"/>
      <c r="D26" s="172"/>
      <c r="E26" s="25"/>
      <c r="F26" s="25"/>
      <c r="G26" s="26"/>
      <c r="H26" s="27"/>
      <c r="I26" s="28"/>
      <c r="J26" s="25"/>
      <c r="K26" s="26"/>
      <c r="L26" s="29"/>
      <c r="M26" s="28"/>
      <c r="N26" s="25"/>
      <c r="O26" s="26"/>
      <c r="P26" s="29"/>
      <c r="Q26" s="28"/>
      <c r="R26" s="25"/>
      <c r="S26" s="26"/>
      <c r="T26" s="29"/>
      <c r="U26" s="135"/>
      <c r="V26" s="136"/>
      <c r="W26" s="137"/>
      <c r="X26" s="138"/>
      <c r="Y26" s="106"/>
      <c r="Z26" s="106"/>
      <c r="AA26" s="107"/>
      <c r="AB26" s="118"/>
      <c r="AC26" s="106"/>
      <c r="AD26" s="106"/>
      <c r="AE26" s="107"/>
      <c r="AF26" s="119" t="s">
        <v>2</v>
      </c>
      <c r="AG26" s="42">
        <f t="shared" si="6"/>
        <v>0</v>
      </c>
      <c r="AH26" s="43">
        <f t="shared" si="6"/>
        <v>0</v>
      </c>
      <c r="AI26" s="44">
        <f t="shared" si="6"/>
        <v>0</v>
      </c>
      <c r="AJ26" s="1" t="s">
        <v>2</v>
      </c>
    </row>
    <row r="27" spans="1:36" ht="22.9" customHeight="1" thickBot="1">
      <c r="A27" s="173" t="s">
        <v>25</v>
      </c>
      <c r="B27" s="174"/>
      <c r="C27" s="174"/>
      <c r="D27" s="175"/>
      <c r="E27" s="66">
        <f t="shared" ref="E27:AI27" si="7">SUM(E9:E26)</f>
        <v>0</v>
      </c>
      <c r="F27" s="66">
        <f t="shared" si="7"/>
        <v>0</v>
      </c>
      <c r="G27" s="66">
        <f t="shared" si="7"/>
        <v>0</v>
      </c>
      <c r="H27" s="67">
        <f t="shared" si="7"/>
        <v>0</v>
      </c>
      <c r="I27" s="66">
        <f t="shared" si="7"/>
        <v>0</v>
      </c>
      <c r="J27" s="66">
        <f t="shared" si="7"/>
        <v>0</v>
      </c>
      <c r="K27" s="66">
        <f t="shared" si="7"/>
        <v>0</v>
      </c>
      <c r="L27" s="68">
        <f t="shared" si="7"/>
        <v>0</v>
      </c>
      <c r="M27" s="66">
        <f t="shared" si="7"/>
        <v>0</v>
      </c>
      <c r="N27" s="66">
        <f t="shared" si="7"/>
        <v>0</v>
      </c>
      <c r="O27" s="66">
        <f t="shared" si="7"/>
        <v>0</v>
      </c>
      <c r="P27" s="68">
        <f t="shared" si="7"/>
        <v>0</v>
      </c>
      <c r="Q27" s="66">
        <f t="shared" si="7"/>
        <v>0</v>
      </c>
      <c r="R27" s="66">
        <f t="shared" si="7"/>
        <v>0</v>
      </c>
      <c r="S27" s="66">
        <f t="shared" si="7"/>
        <v>0</v>
      </c>
      <c r="T27" s="68">
        <f t="shared" si="7"/>
        <v>0</v>
      </c>
      <c r="U27" s="66">
        <f t="shared" si="7"/>
        <v>0</v>
      </c>
      <c r="V27" s="66">
        <f t="shared" si="7"/>
        <v>0</v>
      </c>
      <c r="W27" s="66">
        <f t="shared" si="7"/>
        <v>0</v>
      </c>
      <c r="X27" s="68">
        <f t="shared" si="7"/>
        <v>0</v>
      </c>
      <c r="Y27" s="69">
        <f t="shared" si="7"/>
        <v>0</v>
      </c>
      <c r="Z27" s="66">
        <f t="shared" si="7"/>
        <v>0</v>
      </c>
      <c r="AA27" s="66">
        <f t="shared" si="7"/>
        <v>0</v>
      </c>
      <c r="AB27" s="66">
        <f t="shared" si="7"/>
        <v>0</v>
      </c>
      <c r="AC27" s="66">
        <f t="shared" si="7"/>
        <v>0</v>
      </c>
      <c r="AD27" s="66">
        <f t="shared" si="7"/>
        <v>0</v>
      </c>
      <c r="AE27" s="66">
        <f t="shared" si="7"/>
        <v>0</v>
      </c>
      <c r="AF27" s="67">
        <f t="shared" si="7"/>
        <v>0</v>
      </c>
      <c r="AG27" s="45">
        <f t="shared" si="7"/>
        <v>0</v>
      </c>
      <c r="AH27" s="46">
        <f t="shared" si="7"/>
        <v>0</v>
      </c>
      <c r="AI27" s="47">
        <f t="shared" si="7"/>
        <v>0</v>
      </c>
      <c r="AJ27" s="1" t="s">
        <v>2</v>
      </c>
    </row>
    <row r="28" spans="1:36" ht="22.9" customHeight="1" thickBot="1">
      <c r="A28" s="70" t="s">
        <v>26</v>
      </c>
      <c r="B28" s="70"/>
      <c r="C28" s="70"/>
      <c r="D28" s="71" t="s">
        <v>2</v>
      </c>
      <c r="E28" s="70" t="s">
        <v>2</v>
      </c>
      <c r="F28" s="71" t="s">
        <v>2</v>
      </c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1" t="s">
        <v>2</v>
      </c>
    </row>
    <row r="29" spans="1:36" ht="22.9" customHeight="1" thickBot="1">
      <c r="A29" s="72" t="s">
        <v>6</v>
      </c>
      <c r="B29" s="72" t="s">
        <v>27</v>
      </c>
      <c r="C29" s="72" t="s">
        <v>28</v>
      </c>
      <c r="D29" s="72" t="s">
        <v>29</v>
      </c>
      <c r="E29" s="176" t="s">
        <v>30</v>
      </c>
      <c r="F29" s="176"/>
      <c r="G29" s="71"/>
      <c r="H29" s="177" t="s">
        <v>31</v>
      </c>
      <c r="I29" s="177"/>
      <c r="J29" s="177"/>
      <c r="K29" s="177"/>
      <c r="L29" s="177"/>
      <c r="M29" s="177"/>
      <c r="N29" s="177"/>
      <c r="O29" s="32"/>
      <c r="P29" s="32"/>
      <c r="Q29" s="73" t="s">
        <v>32</v>
      </c>
      <c r="R29" s="74"/>
      <c r="S29" s="74"/>
      <c r="T29" s="74"/>
      <c r="U29" s="74"/>
      <c r="V29" s="75" t="s">
        <v>2</v>
      </c>
      <c r="W29" s="75" t="s">
        <v>2</v>
      </c>
      <c r="X29" s="75" t="s">
        <v>2</v>
      </c>
      <c r="Y29" s="75" t="s">
        <v>2</v>
      </c>
      <c r="Z29" s="75" t="s">
        <v>2</v>
      </c>
      <c r="AA29" s="75" t="s">
        <v>2</v>
      </c>
      <c r="AB29" s="75" t="s">
        <v>2</v>
      </c>
      <c r="AC29" s="75" t="s">
        <v>2</v>
      </c>
      <c r="AD29" s="75" t="s">
        <v>2</v>
      </c>
      <c r="AE29" s="76" t="s">
        <v>2</v>
      </c>
      <c r="AF29" s="30"/>
      <c r="AG29" s="48"/>
      <c r="AH29" s="49"/>
      <c r="AI29" s="30"/>
      <c r="AJ29" s="1" t="s">
        <v>2</v>
      </c>
    </row>
    <row r="30" spans="1:36" ht="22.9" customHeight="1">
      <c r="A30" s="77" t="s">
        <v>2</v>
      </c>
      <c r="B30" s="78" t="s">
        <v>2</v>
      </c>
      <c r="C30" s="78">
        <v>0</v>
      </c>
      <c r="D30" s="78">
        <f>C30*0.725</f>
        <v>0</v>
      </c>
      <c r="E30" s="78" t="s">
        <v>2</v>
      </c>
      <c r="F30" s="78" t="s">
        <v>2</v>
      </c>
      <c r="G30" s="71"/>
      <c r="H30" s="79" t="s">
        <v>33</v>
      </c>
      <c r="I30" s="79" t="s">
        <v>34</v>
      </c>
      <c r="J30" s="79" t="s">
        <v>35</v>
      </c>
      <c r="K30" s="80" t="s">
        <v>36</v>
      </c>
      <c r="L30" s="79" t="s">
        <v>37</v>
      </c>
      <c r="M30" s="80" t="s">
        <v>38</v>
      </c>
      <c r="N30" s="79" t="s">
        <v>39</v>
      </c>
      <c r="O30" s="30"/>
      <c r="P30" s="71"/>
      <c r="Q30" s="81" t="s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82" t="s">
        <v>2</v>
      </c>
      <c r="AF30" s="30"/>
      <c r="AG30" s="49"/>
      <c r="AH30" s="49"/>
      <c r="AI30" s="30"/>
      <c r="AJ30" s="1" t="s">
        <v>2</v>
      </c>
    </row>
    <row r="31" spans="1:36" ht="22.9" customHeight="1" thickBot="1">
      <c r="A31" s="77" t="s">
        <v>2</v>
      </c>
      <c r="B31" s="78" t="s">
        <v>2</v>
      </c>
      <c r="C31" s="78">
        <v>0</v>
      </c>
      <c r="D31" s="78">
        <f t="shared" ref="D31:D35" si="8">C31*0.725</f>
        <v>0</v>
      </c>
      <c r="E31" s="78" t="s">
        <v>2</v>
      </c>
      <c r="F31" s="78" t="s">
        <v>2</v>
      </c>
      <c r="G31" s="71"/>
      <c r="H31" s="93" t="b">
        <v>0</v>
      </c>
      <c r="I31" s="93" t="b">
        <v>0</v>
      </c>
      <c r="J31" s="93" t="b">
        <v>0</v>
      </c>
      <c r="K31" s="94" t="b">
        <v>0</v>
      </c>
      <c r="L31" s="93" t="b">
        <v>0</v>
      </c>
      <c r="M31" s="95" t="b">
        <v>0</v>
      </c>
      <c r="N31" s="96" t="b">
        <v>0</v>
      </c>
      <c r="O31" s="30"/>
      <c r="P31" s="71"/>
      <c r="Q31" s="83" t="s">
        <v>40</v>
      </c>
      <c r="R31" s="84" t="s">
        <v>41</v>
      </c>
      <c r="S31" s="57" t="s">
        <v>42</v>
      </c>
      <c r="T31" s="57"/>
      <c r="U31" s="57"/>
      <c r="V31" s="57"/>
      <c r="W31" s="57"/>
      <c r="X31" s="30"/>
      <c r="Y31" s="30"/>
      <c r="Z31" s="84" t="s">
        <v>43</v>
      </c>
      <c r="AA31" s="57" t="s">
        <v>44</v>
      </c>
      <c r="AB31" s="57"/>
      <c r="AC31" s="57"/>
      <c r="AD31" s="30"/>
      <c r="AE31" s="82" t="s">
        <v>2</v>
      </c>
      <c r="AF31" s="30"/>
      <c r="AG31" s="49"/>
      <c r="AH31" s="49"/>
      <c r="AI31" s="30"/>
      <c r="AJ31" s="1" t="s">
        <v>2</v>
      </c>
    </row>
    <row r="32" spans="1:36" ht="22.9" customHeight="1">
      <c r="A32" s="77" t="s">
        <v>2</v>
      </c>
      <c r="B32" s="78" t="s">
        <v>2</v>
      </c>
      <c r="C32" s="78">
        <v>0</v>
      </c>
      <c r="D32" s="78">
        <f t="shared" si="8"/>
        <v>0</v>
      </c>
      <c r="E32" s="78" t="s">
        <v>2</v>
      </c>
      <c r="F32" s="78" t="s">
        <v>2</v>
      </c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3" t="s">
        <v>2</v>
      </c>
      <c r="R32" s="85" t="s">
        <v>45</v>
      </c>
      <c r="S32" s="57" t="s">
        <v>46</v>
      </c>
      <c r="T32" s="57"/>
      <c r="U32" s="57"/>
      <c r="V32" s="57"/>
      <c r="W32" s="57"/>
      <c r="X32" s="30"/>
      <c r="Y32" s="30"/>
      <c r="Z32" s="85" t="s">
        <v>47</v>
      </c>
      <c r="AA32" s="57" t="s">
        <v>48</v>
      </c>
      <c r="AB32" s="57"/>
      <c r="AC32" s="57"/>
      <c r="AD32" s="30"/>
      <c r="AE32" s="82" t="s">
        <v>2</v>
      </c>
      <c r="AF32" s="30"/>
      <c r="AG32" s="49"/>
      <c r="AH32" s="49"/>
      <c r="AI32" s="30"/>
      <c r="AJ32" s="1" t="s">
        <v>2</v>
      </c>
    </row>
    <row r="33" spans="1:36" ht="22.9" customHeight="1">
      <c r="A33" s="78" t="s">
        <v>2</v>
      </c>
      <c r="B33" s="78" t="s">
        <v>2</v>
      </c>
      <c r="C33" s="78">
        <v>0</v>
      </c>
      <c r="D33" s="78">
        <f t="shared" si="8"/>
        <v>0</v>
      </c>
      <c r="E33" s="78" t="s">
        <v>2</v>
      </c>
      <c r="F33" s="78" t="s">
        <v>2</v>
      </c>
      <c r="G33" s="71"/>
      <c r="H33" s="86" t="s">
        <v>49</v>
      </c>
      <c r="I33" s="87"/>
      <c r="J33" s="87"/>
      <c r="K33" s="30"/>
      <c r="L33" s="87"/>
      <c r="M33" s="87"/>
      <c r="N33" s="87"/>
      <c r="O33" s="87"/>
      <c r="P33" s="87"/>
      <c r="Q33" s="83" t="s">
        <v>2</v>
      </c>
      <c r="R33" s="85" t="s">
        <v>50</v>
      </c>
      <c r="S33" s="57" t="s">
        <v>51</v>
      </c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30"/>
      <c r="AE33" s="82" t="s">
        <v>2</v>
      </c>
      <c r="AF33" s="30"/>
      <c r="AG33" s="49"/>
      <c r="AH33" s="49"/>
      <c r="AI33" s="30"/>
      <c r="AJ33" s="1" t="s">
        <v>2</v>
      </c>
    </row>
    <row r="34" spans="1:36" ht="22.9" customHeight="1">
      <c r="A34" s="78" t="s">
        <v>2</v>
      </c>
      <c r="B34" s="78" t="s">
        <v>2</v>
      </c>
      <c r="C34" s="78">
        <v>0</v>
      </c>
      <c r="D34" s="78">
        <f t="shared" si="8"/>
        <v>0</v>
      </c>
      <c r="E34" s="78" t="s">
        <v>2</v>
      </c>
      <c r="F34" s="78" t="s">
        <v>2</v>
      </c>
      <c r="G34" s="71"/>
      <c r="H34" s="86" t="s">
        <v>52</v>
      </c>
      <c r="I34" s="30"/>
      <c r="J34" s="165">
        <f>SUM(AC6+1)</f>
        <v>46069</v>
      </c>
      <c r="K34" s="166"/>
      <c r="L34" s="166"/>
      <c r="M34" s="87"/>
      <c r="N34" s="87"/>
      <c r="O34" s="87"/>
      <c r="P34" s="87"/>
      <c r="Q34" s="83" t="s">
        <v>2</v>
      </c>
      <c r="R34" s="85" t="s">
        <v>53</v>
      </c>
      <c r="S34" s="57" t="s">
        <v>54</v>
      </c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0"/>
      <c r="AE34" s="82" t="s">
        <v>2</v>
      </c>
      <c r="AF34" s="30"/>
      <c r="AG34" s="30"/>
      <c r="AH34" s="30"/>
      <c r="AI34" s="30"/>
      <c r="AJ34" s="1" t="s">
        <v>2</v>
      </c>
    </row>
    <row r="35" spans="1:36" ht="22.9" customHeight="1">
      <c r="A35" s="78" t="s">
        <v>2</v>
      </c>
      <c r="B35" s="78" t="s">
        <v>2</v>
      </c>
      <c r="C35" s="78">
        <v>0</v>
      </c>
      <c r="D35" s="78">
        <f t="shared" si="8"/>
        <v>0</v>
      </c>
      <c r="E35" s="78" t="s">
        <v>2</v>
      </c>
      <c r="F35" s="78" t="s">
        <v>2</v>
      </c>
      <c r="G35" s="71"/>
      <c r="H35" s="87"/>
      <c r="I35" s="87"/>
      <c r="J35" s="97"/>
      <c r="K35" s="87"/>
      <c r="L35" s="97"/>
      <c r="M35" s="87"/>
      <c r="N35" s="87"/>
      <c r="O35" s="87"/>
      <c r="P35" s="87"/>
      <c r="Q35" s="83" t="s">
        <v>2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30"/>
      <c r="AE35" s="82" t="s">
        <v>2</v>
      </c>
      <c r="AF35" s="30"/>
      <c r="AG35" s="30"/>
      <c r="AH35" s="30"/>
      <c r="AI35" s="30"/>
      <c r="AJ35" s="1" t="s">
        <v>2</v>
      </c>
    </row>
    <row r="36" spans="1:36" ht="23.45" thickBot="1">
      <c r="A36" s="78" t="s">
        <v>2</v>
      </c>
      <c r="B36" s="88" t="s">
        <v>55</v>
      </c>
      <c r="C36" s="78">
        <f>SUM(C30:C35)</f>
        <v>0</v>
      </c>
      <c r="D36" s="78">
        <f>SUM(D30:D35)</f>
        <v>0</v>
      </c>
      <c r="E36" s="78" t="s">
        <v>2</v>
      </c>
      <c r="F36" s="78" t="s">
        <v>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9" t="s">
        <v>2</v>
      </c>
      <c r="R36" s="90" t="s">
        <v>2</v>
      </c>
      <c r="S36" s="90" t="s">
        <v>2</v>
      </c>
      <c r="T36" s="90" t="s">
        <v>2</v>
      </c>
      <c r="U36" s="90" t="s">
        <v>2</v>
      </c>
      <c r="V36" s="90" t="s">
        <v>2</v>
      </c>
      <c r="W36" s="90" t="s">
        <v>2</v>
      </c>
      <c r="X36" s="90" t="s">
        <v>2</v>
      </c>
      <c r="Y36" s="90" t="s">
        <v>2</v>
      </c>
      <c r="Z36" s="90" t="s">
        <v>2</v>
      </c>
      <c r="AA36" s="90" t="s">
        <v>2</v>
      </c>
      <c r="AB36" s="90" t="s">
        <v>2</v>
      </c>
      <c r="AC36" s="90" t="s">
        <v>2</v>
      </c>
      <c r="AD36" s="90" t="s">
        <v>2</v>
      </c>
      <c r="AE36" s="91" t="s">
        <v>2</v>
      </c>
      <c r="AF36" s="30"/>
      <c r="AG36" s="30"/>
      <c r="AH36" s="30"/>
      <c r="AI36" s="30"/>
      <c r="AJ36" s="1" t="s">
        <v>2</v>
      </c>
    </row>
    <row r="37" spans="1:36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</row>
    <row r="38" spans="1:36">
      <c r="A38" s="1" t="s">
        <v>2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2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</row>
    <row r="39" spans="1:36">
      <c r="A39" s="1" t="s">
        <v>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</row>
    <row r="40" spans="1:36">
      <c r="A40" s="1" t="s">
        <v>2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</row>
    <row r="41" spans="1:36">
      <c r="A41" s="1" t="s">
        <v>2</v>
      </c>
      <c r="B41" s="1" t="s">
        <v>2</v>
      </c>
      <c r="C41" s="1" t="s">
        <v>2</v>
      </c>
      <c r="D41" s="1" t="s">
        <v>2</v>
      </c>
      <c r="E41" s="1" t="s">
        <v>2</v>
      </c>
      <c r="F41" s="1" t="s">
        <v>2</v>
      </c>
      <c r="G41" s="1" t="s">
        <v>2</v>
      </c>
      <c r="H41" s="1" t="s">
        <v>2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</row>
    <row r="42" spans="1:36">
      <c r="A42" s="1" t="s">
        <v>2</v>
      </c>
      <c r="B42" s="1" t="s">
        <v>2</v>
      </c>
      <c r="C42" s="1" t="s">
        <v>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</row>
    <row r="43" spans="1:36">
      <c r="A43" s="1" t="s">
        <v>2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</row>
    <row r="44" spans="1:36">
      <c r="A44" s="1" t="s">
        <v>2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</row>
    <row r="45" spans="1:36">
      <c r="A45" s="1" t="s">
        <v>2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</row>
    <row r="46" spans="1:36">
      <c r="A46" s="1" t="s">
        <v>2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</row>
    <row r="47" spans="1:36">
      <c r="A47" s="1" t="s">
        <v>2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  <c r="W47" s="1" t="s">
        <v>2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</row>
    <row r="48" spans="1:36">
      <c r="A48" s="1" t="s">
        <v>2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</row>
    <row r="49" spans="1:36">
      <c r="A49" s="1" t="s">
        <v>2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</row>
    <row r="50" spans="1:36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</row>
    <row r="51" spans="1:36">
      <c r="A51" s="1" t="s">
        <v>2</v>
      </c>
      <c r="B51" s="1" t="s">
        <v>2</v>
      </c>
      <c r="C51" s="1" t="s">
        <v>2</v>
      </c>
      <c r="D51" s="1" t="s">
        <v>2</v>
      </c>
      <c r="E51" s="1" t="s">
        <v>2</v>
      </c>
      <c r="F51" s="1" t="s">
        <v>2</v>
      </c>
      <c r="G51" s="1" t="s">
        <v>2</v>
      </c>
      <c r="H51" s="1" t="s">
        <v>2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  <c r="W51" s="1" t="s">
        <v>2</v>
      </c>
      <c r="X51" s="1" t="s">
        <v>2</v>
      </c>
      <c r="Y51" s="1" t="s">
        <v>2</v>
      </c>
      <c r="Z51" s="1" t="s">
        <v>2</v>
      </c>
      <c r="AA51" s="1" t="s">
        <v>2</v>
      </c>
      <c r="AB51" s="1" t="s">
        <v>2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</row>
    <row r="52" spans="1:36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</row>
    <row r="53" spans="1:36">
      <c r="A53" s="1" t="s">
        <v>2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  <c r="G53" s="1" t="s">
        <v>2</v>
      </c>
      <c r="H53" s="1" t="s">
        <v>2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</row>
    <row r="54" spans="1:36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</row>
    <row r="55" spans="1:36">
      <c r="A55" s="1" t="s">
        <v>2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</row>
    <row r="56" spans="1:36">
      <c r="A56" s="1" t="s">
        <v>2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</row>
    <row r="57" spans="1:36">
      <c r="A57" s="1" t="s">
        <v>2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 t="s">
        <v>2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  <c r="W57" s="1" t="s">
        <v>2</v>
      </c>
      <c r="X57" s="1" t="s">
        <v>2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</row>
    <row r="58" spans="1:36">
      <c r="A58" s="1" t="s">
        <v>2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 t="s">
        <v>2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2</v>
      </c>
      <c r="Z58" s="1" t="s">
        <v>2</v>
      </c>
      <c r="AA58" s="1" t="s">
        <v>2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</row>
    <row r="59" spans="1:36">
      <c r="A59" s="1" t="s">
        <v>2</v>
      </c>
      <c r="B59" s="1" t="s">
        <v>2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 t="s">
        <v>2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  <c r="W59" s="1" t="s">
        <v>2</v>
      </c>
      <c r="X59" s="1" t="s">
        <v>2</v>
      </c>
      <c r="Y59" s="1" t="s">
        <v>2</v>
      </c>
      <c r="Z59" s="1" t="s">
        <v>2</v>
      </c>
      <c r="AA59" s="1" t="s">
        <v>2</v>
      </c>
      <c r="AB59" s="1" t="s">
        <v>2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</row>
    <row r="60" spans="1:36">
      <c r="A60" s="1" t="s">
        <v>2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2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</row>
    <row r="61" spans="1:36">
      <c r="A61" s="1" t="s">
        <v>2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2</v>
      </c>
      <c r="Z61" s="1" t="s">
        <v>2</v>
      </c>
      <c r="AA61" s="1" t="s">
        <v>2</v>
      </c>
      <c r="AB61" s="1" t="s">
        <v>2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</row>
    <row r="62" spans="1:36">
      <c r="A62" s="1" t="s">
        <v>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</row>
    <row r="63" spans="1:36">
      <c r="A63" s="1" t="s">
        <v>2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</row>
    <row r="64" spans="1:36">
      <c r="A64" s="1" t="s">
        <v>2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</row>
    <row r="65" spans="1:36">
      <c r="A65" s="1" t="s">
        <v>2</v>
      </c>
      <c r="B65" s="1" t="s">
        <v>2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2</v>
      </c>
      <c r="H65" s="1" t="s">
        <v>2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</v>
      </c>
      <c r="U65" s="1" t="s">
        <v>2</v>
      </c>
      <c r="V65" s="1" t="s">
        <v>2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 t="s">
        <v>2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</row>
    <row r="66" spans="1:36">
      <c r="A66" s="1" t="s">
        <v>2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</row>
    <row r="67" spans="1:36">
      <c r="A67" s="1" t="s">
        <v>2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</v>
      </c>
      <c r="U67" s="1" t="s">
        <v>2</v>
      </c>
      <c r="V67" s="1" t="s">
        <v>2</v>
      </c>
      <c r="W67" s="1" t="s">
        <v>2</v>
      </c>
      <c r="X67" s="1" t="s">
        <v>2</v>
      </c>
      <c r="Y67" s="1" t="s">
        <v>2</v>
      </c>
      <c r="Z67" s="1" t="s">
        <v>2</v>
      </c>
      <c r="AA67" s="1" t="s">
        <v>2</v>
      </c>
      <c r="AB67" s="1" t="s">
        <v>2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</row>
    <row r="68" spans="1:36">
      <c r="A68" s="1" t="s">
        <v>2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</v>
      </c>
      <c r="U68" s="1" t="s">
        <v>2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2</v>
      </c>
      <c r="AA68" s="1" t="s">
        <v>2</v>
      </c>
      <c r="AB68" s="1" t="s">
        <v>2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</row>
    <row r="69" spans="1:36">
      <c r="A69" s="1" t="s">
        <v>2</v>
      </c>
      <c r="B69" s="1" t="s">
        <v>2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 t="s">
        <v>2</v>
      </c>
      <c r="W69" s="1" t="s">
        <v>2</v>
      </c>
      <c r="X69" s="1" t="s">
        <v>2</v>
      </c>
      <c r="Y69" s="1" t="s">
        <v>2</v>
      </c>
      <c r="Z69" s="1" t="s">
        <v>2</v>
      </c>
      <c r="AA69" s="1" t="s">
        <v>2</v>
      </c>
      <c r="AB69" s="1" t="s">
        <v>2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</row>
    <row r="70" spans="1:36">
      <c r="A70" s="1" t="s">
        <v>2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  <c r="G70" s="1" t="s">
        <v>2</v>
      </c>
      <c r="H70" s="1" t="s">
        <v>2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</v>
      </c>
      <c r="U70" s="1" t="s">
        <v>2</v>
      </c>
      <c r="V70" s="1" t="s">
        <v>2</v>
      </c>
      <c r="W70" s="1" t="s">
        <v>2</v>
      </c>
      <c r="X70" s="1" t="s">
        <v>2</v>
      </c>
      <c r="Y70" s="1" t="s">
        <v>2</v>
      </c>
      <c r="Z70" s="1" t="s">
        <v>2</v>
      </c>
      <c r="AA70" s="1" t="s">
        <v>2</v>
      </c>
      <c r="AB70" s="1" t="s">
        <v>2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</row>
    <row r="71" spans="1:36">
      <c r="A71" s="1" t="s">
        <v>2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 t="s">
        <v>2</v>
      </c>
      <c r="W71" s="1" t="s">
        <v>2</v>
      </c>
      <c r="X71" s="1" t="s">
        <v>2</v>
      </c>
      <c r="Y71" s="1" t="s">
        <v>2</v>
      </c>
      <c r="Z71" s="1" t="s">
        <v>2</v>
      </c>
      <c r="AA71" s="1" t="s">
        <v>2</v>
      </c>
      <c r="AB71" s="1" t="s">
        <v>2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</row>
    <row r="72" spans="1:36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</row>
    <row r="73" spans="1:36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</row>
    <row r="74" spans="1:36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 t="s">
        <v>2</v>
      </c>
      <c r="AA74" s="1" t="s">
        <v>2</v>
      </c>
      <c r="AB74" s="1" t="s">
        <v>2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</row>
    <row r="75" spans="1:36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2</v>
      </c>
      <c r="AA75" s="1" t="s">
        <v>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</row>
    <row r="76" spans="1:36">
      <c r="A76" s="1" t="s">
        <v>2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2</v>
      </c>
      <c r="AA76" s="1" t="s">
        <v>2</v>
      </c>
      <c r="AB76" s="1" t="s">
        <v>2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</row>
    <row r="77" spans="1:36">
      <c r="A77" s="1" t="s">
        <v>2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</row>
    <row r="78" spans="1:36">
      <c r="A78" s="1" t="s">
        <v>2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</row>
    <row r="79" spans="1:36">
      <c r="A79" s="1" t="s">
        <v>2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</row>
    <row r="80" spans="1:36">
      <c r="A80" s="1" t="s">
        <v>2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2</v>
      </c>
      <c r="U80" s="1" t="s">
        <v>2</v>
      </c>
      <c r="V80" s="1" t="s">
        <v>2</v>
      </c>
      <c r="W80" s="1" t="s">
        <v>2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</row>
    <row r="81" spans="1:36">
      <c r="A81" s="1" t="s">
        <v>2</v>
      </c>
      <c r="B81" s="1" t="s">
        <v>2</v>
      </c>
      <c r="C81" s="1" t="s">
        <v>2</v>
      </c>
      <c r="D81" s="1" t="s">
        <v>2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2</v>
      </c>
      <c r="U81" s="1" t="s">
        <v>2</v>
      </c>
      <c r="V81" s="1" t="s">
        <v>2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</row>
    <row r="82" spans="1:36">
      <c r="A82" s="1" t="s">
        <v>2</v>
      </c>
      <c r="B82" s="1" t="s">
        <v>2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 t="s">
        <v>2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</row>
    <row r="83" spans="1:36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</row>
    <row r="84" spans="1:36">
      <c r="A84" s="1" t="s">
        <v>2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</row>
    <row r="85" spans="1:36">
      <c r="A85" s="1" t="s">
        <v>2</v>
      </c>
      <c r="B85" s="1" t="s">
        <v>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</row>
    <row r="86" spans="1:36">
      <c r="A86" s="1" t="s">
        <v>2</v>
      </c>
      <c r="B86" s="1" t="s">
        <v>2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</row>
  </sheetData>
  <mergeCells count="48">
    <mergeCell ref="J34:L3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E29:F29"/>
    <mergeCell ref="H29:N29"/>
    <mergeCell ref="Y7:AB7"/>
    <mergeCell ref="AC7:AF7"/>
    <mergeCell ref="A18:D18"/>
    <mergeCell ref="AG7:AI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E7:H7"/>
    <mergeCell ref="I7:L7"/>
    <mergeCell ref="M7:P7"/>
    <mergeCell ref="Q7:T7"/>
    <mergeCell ref="U7:X7"/>
    <mergeCell ref="Q5:T5"/>
    <mergeCell ref="U5:X5"/>
    <mergeCell ref="Y5:AB5"/>
    <mergeCell ref="AC5:AF5"/>
    <mergeCell ref="E6:H6"/>
    <mergeCell ref="I6:L6"/>
    <mergeCell ref="M6:P6"/>
    <mergeCell ref="Q6:T6"/>
    <mergeCell ref="U6:X6"/>
    <mergeCell ref="Y6:AB6"/>
    <mergeCell ref="M5:P5"/>
    <mergeCell ref="AC6:AF6"/>
    <mergeCell ref="A1:C1"/>
    <mergeCell ref="D1:G1"/>
    <mergeCell ref="A4:A5"/>
    <mergeCell ref="E5:H5"/>
    <mergeCell ref="I5:L5"/>
  </mergeCells>
  <pageMargins left="0.7" right="0.7" top="0.75" bottom="0.75" header="0.3" footer="0.3"/>
  <pageSetup scale="30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D1C06C4-7A7B-441B-B86F-FFE18CC68153}">
          <x14:formula1>
            <xm:f>'PHASE CODES'!$C$2:$C$6</xm:f>
          </x14:formula1>
          <xm:sqref>H9:H26 L9:L26 P9:P26 T9:T26 X9:X26 AB9:AB26 AF9:AF26</xm:sqref>
        </x14:dataValidation>
        <x14:dataValidation type="list" allowBlank="1" showInputMessage="1" showErrorMessage="1" xr:uid="{EBCC1AA8-76FA-4242-BAD0-ACFE1FD57DCD}">
          <x14:formula1>
            <xm:f>'PHASE CODES'!$A$3:$A$301</xm:f>
          </x14:formula1>
          <xm:sqref>A9:D26</xm:sqref>
        </x14:dataValidation>
        <x14:dataValidation type="list" allowBlank="1" showInputMessage="1" showErrorMessage="1" xr:uid="{3230A15A-9C66-4EA9-BC06-37D855564084}">
          <x14:formula1>
            <xm:f>EMPLOYEES!$A$2:$A$51</xm:f>
          </x14:formula1>
          <xm:sqref>A1:C1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0FB6-6693-4713-AD63-AF08E8611089}">
  <dimension ref="A1:C91"/>
  <sheetViews>
    <sheetView showGridLines="0" workbookViewId="0">
      <pane ySplit="1" topLeftCell="A7" activePane="bottomLeft" state="frozen"/>
      <selection pane="bottomLeft" activeCell="A34" sqref="A34"/>
    </sheetView>
  </sheetViews>
  <sheetFormatPr defaultRowHeight="14.45"/>
  <cols>
    <col min="1" max="1" width="61.28515625" bestFit="1" customWidth="1"/>
    <col min="3" max="3" width="15.7109375" bestFit="1" customWidth="1"/>
  </cols>
  <sheetData>
    <row r="1" spans="1:3">
      <c r="A1" s="4" t="s">
        <v>73</v>
      </c>
      <c r="C1" t="s">
        <v>74</v>
      </c>
    </row>
    <row r="2" spans="1:3">
      <c r="A2" s="139"/>
      <c r="C2" t="s">
        <v>75</v>
      </c>
    </row>
    <row r="3" spans="1:3">
      <c r="A3" s="139" t="s">
        <v>59</v>
      </c>
      <c r="C3" t="s">
        <v>45</v>
      </c>
    </row>
    <row r="4" spans="1:3">
      <c r="A4" s="139" t="s">
        <v>57</v>
      </c>
      <c r="C4" t="s">
        <v>50</v>
      </c>
    </row>
    <row r="5" spans="1:3">
      <c r="A5" s="139"/>
      <c r="C5" t="s">
        <v>76</v>
      </c>
    </row>
    <row r="6" spans="1:3">
      <c r="A6" s="139"/>
      <c r="C6" t="s">
        <v>77</v>
      </c>
    </row>
    <row r="7" spans="1:3">
      <c r="A7" s="139"/>
    </row>
    <row r="8" spans="1:3">
      <c r="A8" s="139"/>
    </row>
    <row r="9" spans="1:3">
      <c r="A9" s="139" t="s">
        <v>23</v>
      </c>
    </row>
    <row r="10" spans="1:3">
      <c r="A10" s="139" t="s">
        <v>20</v>
      </c>
    </row>
    <row r="11" spans="1:3">
      <c r="A11" s="139" t="s">
        <v>72</v>
      </c>
    </row>
    <row r="12" spans="1:3">
      <c r="A12" s="139" t="s">
        <v>78</v>
      </c>
    </row>
    <row r="13" spans="1:3">
      <c r="A13" s="139" t="s">
        <v>21</v>
      </c>
    </row>
    <row r="14" spans="1:3">
      <c r="A14" s="139" t="s">
        <v>79</v>
      </c>
    </row>
    <row r="15" spans="1:3">
      <c r="A15" s="139" t="s">
        <v>80</v>
      </c>
    </row>
    <row r="16" spans="1:3">
      <c r="A16" s="139" t="s">
        <v>81</v>
      </c>
    </row>
    <row r="17" spans="1:1">
      <c r="A17" s="139" t="s">
        <v>82</v>
      </c>
    </row>
    <row r="18" spans="1:1">
      <c r="A18" s="139" t="s">
        <v>22</v>
      </c>
    </row>
    <row r="19" spans="1:1">
      <c r="A19" s="139" t="s">
        <v>83</v>
      </c>
    </row>
    <row r="20" spans="1:1">
      <c r="A20" s="139" t="s">
        <v>84</v>
      </c>
    </row>
    <row r="21" spans="1:1">
      <c r="A21" s="139" t="s">
        <v>85</v>
      </c>
    </row>
    <row r="22" spans="1:1">
      <c r="A22" s="139"/>
    </row>
    <row r="23" spans="1:1">
      <c r="A23" s="139" t="s">
        <v>86</v>
      </c>
    </row>
    <row r="24" spans="1:1">
      <c r="A24" s="139"/>
    </row>
    <row r="25" spans="1:1">
      <c r="A25" s="139"/>
    </row>
    <row r="26" spans="1:1">
      <c r="A26" s="139" t="s">
        <v>63</v>
      </c>
    </row>
    <row r="27" spans="1:1">
      <c r="A27" s="139"/>
    </row>
    <row r="28" spans="1:1">
      <c r="A28" s="139"/>
    </row>
    <row r="29" spans="1:1">
      <c r="A29" s="139"/>
    </row>
    <row r="30" spans="1:1">
      <c r="A30" t="s">
        <v>87</v>
      </c>
    </row>
    <row r="31" spans="1:1">
      <c r="A31" s="139"/>
    </row>
    <row r="32" spans="1:1">
      <c r="A32" s="139" t="s">
        <v>88</v>
      </c>
    </row>
    <row r="33" spans="1:1">
      <c r="A33" s="139" t="s">
        <v>24</v>
      </c>
    </row>
    <row r="34" spans="1:1">
      <c r="A34" s="139"/>
    </row>
    <row r="35" spans="1:1">
      <c r="A35" s="139"/>
    </row>
    <row r="36" spans="1:1">
      <c r="A36" s="139"/>
    </row>
    <row r="37" spans="1:1">
      <c r="A37" s="139"/>
    </row>
    <row r="38" spans="1:1">
      <c r="A38" s="139"/>
    </row>
    <row r="39" spans="1:1">
      <c r="A39" s="139"/>
    </row>
    <row r="40" spans="1:1">
      <c r="A40" s="139"/>
    </row>
    <row r="41" spans="1:1">
      <c r="A41" s="139"/>
    </row>
    <row r="42" spans="1:1">
      <c r="A42" s="139"/>
    </row>
    <row r="43" spans="1:1">
      <c r="A43" s="139"/>
    </row>
    <row r="44" spans="1:1">
      <c r="A44" s="139"/>
    </row>
    <row r="45" spans="1:1">
      <c r="A45" s="139"/>
    </row>
    <row r="46" spans="1:1">
      <c r="A46" s="139"/>
    </row>
    <row r="47" spans="1:1">
      <c r="A47" s="139"/>
    </row>
    <row r="48" spans="1:1">
      <c r="A48" s="139"/>
    </row>
    <row r="49" spans="1:1">
      <c r="A49" s="139"/>
    </row>
    <row r="50" spans="1:1">
      <c r="A50" s="139"/>
    </row>
    <row r="51" spans="1:1">
      <c r="A51" s="139"/>
    </row>
    <row r="52" spans="1:1">
      <c r="A52" s="139"/>
    </row>
    <row r="53" spans="1:1">
      <c r="A53" s="139"/>
    </row>
    <row r="54" spans="1:1">
      <c r="A54" s="139"/>
    </row>
    <row r="55" spans="1:1">
      <c r="A55" s="139"/>
    </row>
    <row r="56" spans="1:1">
      <c r="A56" s="139"/>
    </row>
    <row r="57" spans="1:1">
      <c r="A57" s="139"/>
    </row>
    <row r="58" spans="1:1">
      <c r="A58" s="139"/>
    </row>
    <row r="59" spans="1:1">
      <c r="A59" s="139"/>
    </row>
    <row r="60" spans="1:1">
      <c r="A60" s="139"/>
    </row>
    <row r="61" spans="1:1">
      <c r="A61" s="139"/>
    </row>
    <row r="62" spans="1:1">
      <c r="A62" s="139"/>
    </row>
    <row r="63" spans="1:1">
      <c r="A63" s="139"/>
    </row>
    <row r="64" spans="1:1">
      <c r="A64" s="139"/>
    </row>
    <row r="65" spans="1:1">
      <c r="A65" s="139"/>
    </row>
    <row r="66" spans="1:1">
      <c r="A66" s="139"/>
    </row>
    <row r="67" spans="1:1">
      <c r="A67" s="139"/>
    </row>
    <row r="68" spans="1:1">
      <c r="A68" s="139"/>
    </row>
    <row r="69" spans="1:1">
      <c r="A69" s="139"/>
    </row>
    <row r="70" spans="1:1">
      <c r="A70" s="139"/>
    </row>
    <row r="71" spans="1:1">
      <c r="A71" s="139"/>
    </row>
    <row r="72" spans="1:1">
      <c r="A72" s="139"/>
    </row>
    <row r="73" spans="1:1">
      <c r="A73" s="139"/>
    </row>
    <row r="74" spans="1:1">
      <c r="A74" s="139"/>
    </row>
    <row r="75" spans="1:1">
      <c r="A75" s="139"/>
    </row>
    <row r="76" spans="1:1">
      <c r="A76" s="139"/>
    </row>
    <row r="77" spans="1:1">
      <c r="A77" s="139"/>
    </row>
    <row r="78" spans="1:1">
      <c r="A78" s="139"/>
    </row>
    <row r="79" spans="1:1">
      <c r="A79" s="139"/>
    </row>
    <row r="80" spans="1:1">
      <c r="A80" s="139"/>
    </row>
    <row r="81" spans="1:1">
      <c r="A81" s="139"/>
    </row>
    <row r="82" spans="1:1">
      <c r="A82" s="139"/>
    </row>
    <row r="83" spans="1:1">
      <c r="A83" s="139"/>
    </row>
    <row r="84" spans="1:1">
      <c r="A84" s="139"/>
    </row>
    <row r="85" spans="1:1">
      <c r="A85" s="139"/>
    </row>
    <row r="86" spans="1:1">
      <c r="A86" s="139"/>
    </row>
    <row r="87" spans="1:1">
      <c r="A87" s="139"/>
    </row>
    <row r="88" spans="1:1">
      <c r="A88" s="139"/>
    </row>
    <row r="89" spans="1:1">
      <c r="A89" s="139"/>
    </row>
    <row r="90" spans="1:1">
      <c r="A90" s="139"/>
    </row>
    <row r="91" spans="1:1">
      <c r="A91" s="139"/>
    </row>
  </sheetData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5BDE-A233-4CA7-8CF0-A8BB38C2F74A}">
  <dimension ref="A1:A48"/>
  <sheetViews>
    <sheetView showGridLines="0" workbookViewId="0">
      <pane ySplit="1" topLeftCell="A2" activePane="bottomLeft" state="frozen"/>
      <selection pane="bottomLeft" activeCell="A7" sqref="A7"/>
    </sheetView>
  </sheetViews>
  <sheetFormatPr defaultRowHeight="14.45"/>
  <cols>
    <col min="1" max="1" width="26.7109375" customWidth="1"/>
  </cols>
  <sheetData>
    <row r="1" spans="1:1">
      <c r="A1" s="4" t="s">
        <v>89</v>
      </c>
    </row>
    <row r="2" spans="1:1">
      <c r="A2" t="s">
        <v>0</v>
      </c>
    </row>
    <row r="3" spans="1:1">
      <c r="A3" t="s">
        <v>56</v>
      </c>
    </row>
    <row r="4" spans="1:1">
      <c r="A4" t="s">
        <v>90</v>
      </c>
    </row>
    <row r="5" spans="1:1">
      <c r="A5" t="s">
        <v>60</v>
      </c>
    </row>
    <row r="6" spans="1:1">
      <c r="A6" t="s">
        <v>61</v>
      </c>
    </row>
    <row r="7" spans="1:1">
      <c r="A7" t="s">
        <v>62</v>
      </c>
    </row>
    <row r="8" spans="1:1">
      <c r="A8" t="s">
        <v>64</v>
      </c>
    </row>
    <row r="9" spans="1:1">
      <c r="A9" t="s">
        <v>91</v>
      </c>
    </row>
    <row r="10" spans="1:1">
      <c r="A10" t="s">
        <v>92</v>
      </c>
    </row>
    <row r="11" spans="1:1">
      <c r="A11" t="s">
        <v>93</v>
      </c>
    </row>
    <row r="12" spans="1:1">
      <c r="A12" t="s">
        <v>67</v>
      </c>
    </row>
    <row r="13" spans="1:1">
      <c r="A13" t="s">
        <v>68</v>
      </c>
    </row>
    <row r="14" spans="1:1">
      <c r="A14" t="s">
        <v>94</v>
      </c>
    </row>
    <row r="15" spans="1:1">
      <c r="A15" t="s">
        <v>70</v>
      </c>
    </row>
    <row r="16" spans="1:1">
      <c r="A16" t="s">
        <v>71</v>
      </c>
    </row>
    <row r="21" spans="1:1">
      <c r="A21" t="s">
        <v>95</v>
      </c>
    </row>
    <row r="22" spans="1:1">
      <c r="A22" t="s">
        <v>96</v>
      </c>
    </row>
    <row r="23" spans="1:1">
      <c r="A23" t="s">
        <v>97</v>
      </c>
    </row>
    <row r="24" spans="1:1">
      <c r="A24" t="s">
        <v>98</v>
      </c>
    </row>
    <row r="25" spans="1:1">
      <c r="A25" t="s">
        <v>99</v>
      </c>
    </row>
    <row r="26" spans="1:1">
      <c r="A26" t="s">
        <v>100</v>
      </c>
    </row>
    <row r="27" spans="1:1">
      <c r="A27" t="s">
        <v>101</v>
      </c>
    </row>
    <row r="28" spans="1:1">
      <c r="A28" t="s">
        <v>102</v>
      </c>
    </row>
    <row r="29" spans="1:1">
      <c r="A29" t="s">
        <v>103</v>
      </c>
    </row>
    <row r="30" spans="1:1">
      <c r="A30" t="s">
        <v>104</v>
      </c>
    </row>
    <row r="31" spans="1:1">
      <c r="A31" t="s">
        <v>105</v>
      </c>
    </row>
    <row r="33" spans="1:1">
      <c r="A33" t="s">
        <v>106</v>
      </c>
    </row>
    <row r="34" spans="1:1">
      <c r="A34" t="s">
        <v>107</v>
      </c>
    </row>
    <row r="35" spans="1:1">
      <c r="A35" t="s">
        <v>108</v>
      </c>
    </row>
    <row r="36" spans="1:1">
      <c r="A36" t="s">
        <v>109</v>
      </c>
    </row>
    <row r="37" spans="1:1">
      <c r="A37" t="s">
        <v>110</v>
      </c>
    </row>
    <row r="38" spans="1:1">
      <c r="A38" t="s">
        <v>111</v>
      </c>
    </row>
    <row r="39" spans="1:1">
      <c r="A39" t="s">
        <v>112</v>
      </c>
    </row>
    <row r="43" spans="1:1">
      <c r="A43" t="s">
        <v>113</v>
      </c>
    </row>
    <row r="44" spans="1:1">
      <c r="A44" t="s">
        <v>114</v>
      </c>
    </row>
    <row r="45" spans="1:1">
      <c r="A45" t="s">
        <v>115</v>
      </c>
    </row>
    <row r="46" spans="1:1">
      <c r="A46" t="s">
        <v>116</v>
      </c>
    </row>
    <row r="47" spans="1:1">
      <c r="A47" t="s">
        <v>117</v>
      </c>
    </row>
    <row r="48" spans="1:1">
      <c r="A48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Bowers</dc:creator>
  <cp:keywords/>
  <dc:description/>
  <cp:lastModifiedBy/>
  <cp:revision/>
  <dcterms:created xsi:type="dcterms:W3CDTF">2024-09-20T22:15:14Z</dcterms:created>
  <dcterms:modified xsi:type="dcterms:W3CDTF">2026-04-08T20:40:10Z</dcterms:modified>
  <cp:category/>
  <cp:contentStatus/>
</cp:coreProperties>
</file>